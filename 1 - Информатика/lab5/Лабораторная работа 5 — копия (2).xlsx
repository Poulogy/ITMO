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erke\Desktop\Задачи по информатике\лаб 5\"/>
    </mc:Choice>
  </mc:AlternateContent>
  <xr:revisionPtr revIDLastSave="0" documentId="13_ncr:1_{A5360B94-B615-44F7-BAEF-18FDC66E43F7}" xr6:coauthVersionLast="47" xr6:coauthVersionMax="47" xr10:uidLastSave="{00000000-0000-0000-0000-000000000000}"/>
  <bookViews>
    <workbookView xWindow="-108" yWindow="-108" windowWidth="23256" windowHeight="12576" xr2:uid="{72A74ED5-9FB9-48FD-B963-8040DED509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1" l="1"/>
  <c r="R13" i="1"/>
  <c r="S13" i="1"/>
  <c r="T13" i="1"/>
  <c r="U13" i="1"/>
  <c r="V13" i="1"/>
  <c r="W13" i="1"/>
  <c r="X13" i="1"/>
  <c r="Y13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K66" i="1" s="1"/>
  <c r="J14" i="1"/>
  <c r="I14" i="1"/>
  <c r="H14" i="1"/>
  <c r="G14" i="1"/>
  <c r="P13" i="1"/>
  <c r="O13" i="1"/>
  <c r="N13" i="1"/>
  <c r="M13" i="1"/>
  <c r="L13" i="1"/>
  <c r="K13" i="1"/>
  <c r="J13" i="1"/>
  <c r="I13" i="1"/>
  <c r="H13" i="1"/>
  <c r="G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K43" i="1" s="1"/>
  <c r="K45" i="1" s="1"/>
  <c r="J11" i="1"/>
  <c r="I11" i="1"/>
  <c r="H11" i="1"/>
  <c r="G11" i="1"/>
  <c r="Y10" i="1"/>
  <c r="X10" i="1"/>
  <c r="W10" i="1"/>
  <c r="V10" i="1"/>
  <c r="U10" i="1"/>
  <c r="T10" i="1"/>
  <c r="S10" i="1"/>
  <c r="R10" i="1"/>
  <c r="Q10" i="1"/>
  <c r="P10" i="1"/>
  <c r="P42" i="1" s="1"/>
  <c r="O10" i="1"/>
  <c r="N10" i="1"/>
  <c r="M10" i="1"/>
  <c r="L10" i="1"/>
  <c r="K10" i="1"/>
  <c r="J10" i="1"/>
  <c r="I10" i="1"/>
  <c r="H10" i="1"/>
  <c r="G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G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Y6" i="1"/>
  <c r="X6" i="1"/>
  <c r="W6" i="1"/>
  <c r="V6" i="1"/>
  <c r="U6" i="1"/>
  <c r="U27" i="1" s="1"/>
  <c r="U29" i="1" s="1"/>
  <c r="T6" i="1"/>
  <c r="S6" i="1"/>
  <c r="R6" i="1"/>
  <c r="Q6" i="1"/>
  <c r="P6" i="1"/>
  <c r="P27" i="1" s="1"/>
  <c r="P29" i="1" s="1"/>
  <c r="O6" i="1"/>
  <c r="N6" i="1"/>
  <c r="M6" i="1"/>
  <c r="L6" i="1"/>
  <c r="K6" i="1"/>
  <c r="K67" i="1" s="1"/>
  <c r="K69" i="1" s="1"/>
  <c r="J6" i="1"/>
  <c r="I6" i="1"/>
  <c r="H6" i="1"/>
  <c r="G6" i="1"/>
  <c r="Y5" i="1"/>
  <c r="X5" i="1"/>
  <c r="W5" i="1"/>
  <c r="W19" i="1" s="1"/>
  <c r="V5" i="1"/>
  <c r="U5" i="1"/>
  <c r="U26" i="1" s="1"/>
  <c r="T5" i="1"/>
  <c r="S5" i="1"/>
  <c r="R5" i="1"/>
  <c r="Q5" i="1"/>
  <c r="P5" i="1"/>
  <c r="P58" i="1" s="1"/>
  <c r="O5" i="1"/>
  <c r="N5" i="1"/>
  <c r="M5" i="1"/>
  <c r="L5" i="1"/>
  <c r="K5" i="1"/>
  <c r="K19" i="1" s="1"/>
  <c r="K21" i="1" s="1"/>
  <c r="J5" i="1"/>
  <c r="I5" i="1"/>
  <c r="H5" i="1"/>
  <c r="G5" i="1"/>
  <c r="Y4" i="1"/>
  <c r="X4" i="1"/>
  <c r="X18" i="1" s="1"/>
  <c r="W4" i="1"/>
  <c r="V4" i="1"/>
  <c r="U4" i="1"/>
  <c r="U18" i="1" s="1"/>
  <c r="T4" i="1"/>
  <c r="T18" i="1" s="1"/>
  <c r="S4" i="1"/>
  <c r="R4" i="1"/>
  <c r="Q4" i="1"/>
  <c r="P4" i="1"/>
  <c r="P18" i="1" s="1"/>
  <c r="O4" i="1"/>
  <c r="N4" i="1"/>
  <c r="N18" i="1" s="1"/>
  <c r="M4" i="1"/>
  <c r="L4" i="1"/>
  <c r="K4" i="1"/>
  <c r="K18" i="1" s="1"/>
  <c r="J4" i="1"/>
  <c r="J18" i="1" s="1"/>
  <c r="I4" i="1"/>
  <c r="H4" i="1"/>
  <c r="G4" i="1"/>
  <c r="C4" i="1"/>
  <c r="U66" i="1"/>
  <c r="P66" i="1"/>
  <c r="U59" i="1"/>
  <c r="U61" i="1" s="1"/>
  <c r="P59" i="1"/>
  <c r="P61" i="1" s="1"/>
  <c r="K59" i="1"/>
  <c r="K61" i="1" s="1"/>
  <c r="U58" i="1"/>
  <c r="U51" i="1"/>
  <c r="U53" i="1" s="1"/>
  <c r="P51" i="1"/>
  <c r="P53" i="1" s="1"/>
  <c r="K51" i="1"/>
  <c r="K53" i="1" s="1"/>
  <c r="U50" i="1"/>
  <c r="P50" i="1"/>
  <c r="U43" i="1"/>
  <c r="U45" i="1" s="1"/>
  <c r="P43" i="1"/>
  <c r="P45" i="1" s="1"/>
  <c r="U42" i="1"/>
  <c r="K42" i="1"/>
  <c r="U35" i="1"/>
  <c r="U37" i="1" s="1"/>
  <c r="K35" i="1"/>
  <c r="K37" i="1" s="1"/>
  <c r="U34" i="1"/>
  <c r="U19" i="1"/>
  <c r="U21" i="1" s="1"/>
  <c r="C8" i="1"/>
  <c r="C14" i="1" s="1"/>
  <c r="AD66" i="1" s="1"/>
  <c r="C7" i="1"/>
  <c r="C13" i="1" s="1"/>
  <c r="C6" i="1"/>
  <c r="C12" i="1" s="1"/>
  <c r="L51" i="1" s="1"/>
  <c r="C5" i="1"/>
  <c r="C10" i="1"/>
  <c r="AD35" i="1" s="1"/>
  <c r="K50" i="1" l="1"/>
  <c r="P35" i="1"/>
  <c r="P37" i="1" s="1"/>
  <c r="U67" i="1"/>
  <c r="U69" i="1" s="1"/>
  <c r="P67" i="1"/>
  <c r="P69" i="1" s="1"/>
  <c r="K27" i="1"/>
  <c r="K29" i="1" s="1"/>
  <c r="P26" i="1"/>
  <c r="P34" i="1"/>
  <c r="P19" i="1"/>
  <c r="P21" i="1" s="1"/>
  <c r="K58" i="1"/>
  <c r="K26" i="1"/>
  <c r="K34" i="1"/>
  <c r="AD34" i="1"/>
  <c r="M58" i="1"/>
  <c r="V58" i="1"/>
  <c r="V19" i="1"/>
  <c r="V34" i="1"/>
  <c r="V26" i="1"/>
  <c r="M26" i="1"/>
  <c r="W58" i="1"/>
  <c r="M19" i="1"/>
  <c r="AD19" i="1"/>
  <c r="W26" i="1"/>
  <c r="M34" i="1"/>
  <c r="W34" i="1"/>
  <c r="AD26" i="1"/>
  <c r="AD29" i="1" s="1"/>
  <c r="AD58" i="1"/>
  <c r="C11" i="1"/>
  <c r="X35" i="1"/>
  <c r="V67" i="1"/>
  <c r="H67" i="1"/>
  <c r="X67" i="1"/>
  <c r="G67" i="1"/>
  <c r="J27" i="1"/>
  <c r="H51" i="1"/>
  <c r="AD27" i="1"/>
  <c r="F1" i="1"/>
  <c r="N51" i="1"/>
  <c r="Q51" i="1"/>
  <c r="N67" i="1"/>
  <c r="V51" i="1"/>
  <c r="Q27" i="1"/>
  <c r="X66" i="1"/>
  <c r="R27" i="1"/>
  <c r="N42" i="1"/>
  <c r="R66" i="1"/>
  <c r="AD42" i="1"/>
  <c r="E1" i="1"/>
  <c r="O18" i="1"/>
  <c r="Y18" i="1"/>
  <c r="O51" i="1"/>
  <c r="R51" i="1"/>
  <c r="W51" i="1"/>
  <c r="Y66" i="1"/>
  <c r="Q66" i="1"/>
  <c r="H66" i="1"/>
  <c r="I66" i="1"/>
  <c r="M51" i="1"/>
  <c r="W66" i="1"/>
  <c r="N27" i="1"/>
  <c r="G18" i="1"/>
  <c r="R18" i="1"/>
  <c r="G51" i="1"/>
  <c r="J66" i="1"/>
  <c r="Y51" i="1"/>
  <c r="G27" i="1"/>
  <c r="AD51" i="1"/>
  <c r="Q18" i="1"/>
  <c r="H18" i="1"/>
  <c r="I18" i="1"/>
  <c r="S18" i="1"/>
  <c r="M66" i="1"/>
  <c r="N66" i="1"/>
  <c r="X51" i="1"/>
  <c r="G66" i="1"/>
  <c r="I51" i="1"/>
  <c r="S51" i="1"/>
  <c r="L66" i="1"/>
  <c r="V66" i="1"/>
  <c r="AD18" i="1"/>
  <c r="N35" i="1"/>
  <c r="L18" i="1"/>
  <c r="O66" i="1"/>
  <c r="T51" i="1"/>
  <c r="T66" i="1"/>
  <c r="AD67" i="1"/>
  <c r="AD69" i="1" s="1"/>
  <c r="V18" i="1"/>
  <c r="M18" i="1"/>
  <c r="W18" i="1"/>
  <c r="J51" i="1"/>
  <c r="S66" i="1"/>
  <c r="AD37" i="1"/>
  <c r="C9" i="1"/>
  <c r="J67" i="1" l="1"/>
  <c r="X42" i="1"/>
  <c r="Q67" i="1"/>
  <c r="V27" i="1"/>
  <c r="R26" i="1"/>
  <c r="R34" i="1"/>
  <c r="R58" i="1"/>
  <c r="R19" i="1"/>
  <c r="X19" i="1"/>
  <c r="X58" i="1"/>
  <c r="X34" i="1"/>
  <c r="X26" i="1"/>
  <c r="X27" i="1"/>
  <c r="S58" i="1"/>
  <c r="S19" i="1"/>
  <c r="S34" i="1"/>
  <c r="S26" i="1"/>
  <c r="H19" i="1"/>
  <c r="H58" i="1"/>
  <c r="H26" i="1"/>
  <c r="H34" i="1"/>
  <c r="N58" i="1"/>
  <c r="N34" i="1"/>
  <c r="N19" i="1"/>
  <c r="N26" i="1"/>
  <c r="H27" i="1"/>
  <c r="I58" i="1"/>
  <c r="I26" i="1"/>
  <c r="I19" i="1"/>
  <c r="I34" i="1"/>
  <c r="Q34" i="1"/>
  <c r="Q26" i="1"/>
  <c r="Q19" i="1"/>
  <c r="Q58" i="1"/>
  <c r="G34" i="1"/>
  <c r="G26" i="1"/>
  <c r="G19" i="1"/>
  <c r="G58" i="1"/>
  <c r="AD59" i="1"/>
  <c r="AD61" i="1" s="1"/>
  <c r="AD50" i="1"/>
  <c r="AD43" i="1"/>
  <c r="AD45" i="1" s="1"/>
  <c r="AD21" i="1"/>
  <c r="L34" i="1"/>
  <c r="L19" i="1"/>
  <c r="L58" i="1"/>
  <c r="L26" i="1"/>
  <c r="T58" i="1"/>
  <c r="T19" i="1"/>
  <c r="T34" i="1"/>
  <c r="T26" i="1"/>
  <c r="Y58" i="1"/>
  <c r="Y34" i="1"/>
  <c r="Y26" i="1"/>
  <c r="Y19" i="1"/>
  <c r="Y21" i="1" s="1"/>
  <c r="AD53" i="1"/>
  <c r="J58" i="1"/>
  <c r="J34" i="1"/>
  <c r="J19" i="1"/>
  <c r="J26" i="1"/>
  <c r="O58" i="1"/>
  <c r="O34" i="1"/>
  <c r="O26" i="1"/>
  <c r="O19" i="1"/>
  <c r="R67" i="1"/>
  <c r="L67" i="1"/>
  <c r="L27" i="1"/>
  <c r="T67" i="1"/>
  <c r="T27" i="1"/>
  <c r="I42" i="1"/>
  <c r="I35" i="1"/>
  <c r="W35" i="1"/>
  <c r="W42" i="1"/>
  <c r="T42" i="1"/>
  <c r="T35" i="1"/>
  <c r="M42" i="1"/>
  <c r="M35" i="1"/>
  <c r="J42" i="1"/>
  <c r="J35" i="1"/>
  <c r="Y27" i="1"/>
  <c r="Y67" i="1"/>
  <c r="Y69" i="1" s="1"/>
  <c r="C15" i="1"/>
  <c r="V35" i="1"/>
  <c r="V42" i="1"/>
  <c r="R42" i="1"/>
  <c r="R35" i="1"/>
  <c r="O67" i="1"/>
  <c r="O27" i="1"/>
  <c r="L42" i="1"/>
  <c r="L35" i="1"/>
  <c r="H35" i="1"/>
  <c r="H42" i="1"/>
  <c r="Y35" i="1"/>
  <c r="Y42" i="1"/>
  <c r="X17" i="1"/>
  <c r="M67" i="1"/>
  <c r="M27" i="1"/>
  <c r="S27" i="1"/>
  <c r="S67" i="1"/>
  <c r="Q35" i="1"/>
  <c r="Q42" i="1"/>
  <c r="O42" i="1"/>
  <c r="O35" i="1"/>
  <c r="I27" i="1"/>
  <c r="I67" i="1"/>
  <c r="G35" i="1"/>
  <c r="G42" i="1"/>
  <c r="W67" i="1"/>
  <c r="W27" i="1"/>
  <c r="S42" i="1"/>
  <c r="S35" i="1"/>
  <c r="X65" i="1" l="1"/>
  <c r="X69" i="1" s="1"/>
  <c r="V59" i="1"/>
  <c r="V50" i="1"/>
  <c r="V43" i="1"/>
  <c r="N59" i="1"/>
  <c r="N50" i="1"/>
  <c r="N43" i="1"/>
  <c r="H43" i="1"/>
  <c r="H50" i="1"/>
  <c r="H59" i="1"/>
  <c r="R43" i="1"/>
  <c r="R59" i="1"/>
  <c r="R50" i="1"/>
  <c r="X43" i="1"/>
  <c r="X50" i="1"/>
  <c r="X59" i="1"/>
  <c r="Q43" i="1"/>
  <c r="Q50" i="1"/>
  <c r="Q59" i="1"/>
  <c r="L59" i="1"/>
  <c r="L50" i="1"/>
  <c r="L43" i="1"/>
  <c r="M59" i="1"/>
  <c r="M50" i="1"/>
  <c r="M43" i="1"/>
  <c r="W50" i="1"/>
  <c r="W59" i="1"/>
  <c r="W43" i="1"/>
  <c r="J43" i="1"/>
  <c r="J59" i="1"/>
  <c r="J50" i="1"/>
  <c r="I43" i="1"/>
  <c r="I59" i="1"/>
  <c r="I50" i="1"/>
  <c r="O50" i="1"/>
  <c r="O59" i="1"/>
  <c r="O43" i="1"/>
  <c r="T59" i="1"/>
  <c r="T50" i="1"/>
  <c r="T43" i="1"/>
  <c r="S43" i="1"/>
  <c r="S59" i="1"/>
  <c r="S50" i="1"/>
  <c r="G50" i="1"/>
  <c r="G59" i="1"/>
  <c r="G43" i="1"/>
  <c r="Y43" i="1"/>
  <c r="Y45" i="1" s="1"/>
  <c r="Y59" i="1"/>
  <c r="Y61" i="1" s="1"/>
  <c r="Y50" i="1"/>
  <c r="X21" i="1"/>
  <c r="W17" i="1"/>
  <c r="X41" i="1"/>
  <c r="X25" i="1"/>
  <c r="Y29" i="1"/>
  <c r="Y37" i="1"/>
  <c r="X33" i="1"/>
  <c r="W65" i="1" l="1"/>
  <c r="V65" i="1" s="1"/>
  <c r="U65" i="1" s="1"/>
  <c r="Y53" i="1"/>
  <c r="X49" i="1"/>
  <c r="W49" i="1" s="1"/>
  <c r="X57" i="1"/>
  <c r="W57" i="1" s="1"/>
  <c r="V57" i="1" s="1"/>
  <c r="U57" i="1" s="1"/>
  <c r="W33" i="1"/>
  <c r="X37" i="1"/>
  <c r="W25" i="1"/>
  <c r="X29" i="1"/>
  <c r="W41" i="1"/>
  <c r="X45" i="1"/>
  <c r="W21" i="1"/>
  <c r="V17" i="1"/>
  <c r="W69" i="1" l="1"/>
  <c r="V69" i="1"/>
  <c r="V49" i="1"/>
  <c r="W53" i="1"/>
  <c r="T57" i="1"/>
  <c r="N63" i="1"/>
  <c r="X61" i="1"/>
  <c r="W61" i="1"/>
  <c r="V61" i="1"/>
  <c r="X53" i="1"/>
  <c r="V41" i="1"/>
  <c r="W45" i="1"/>
  <c r="V25" i="1"/>
  <c r="W29" i="1"/>
  <c r="T65" i="1"/>
  <c r="N71" i="1"/>
  <c r="U17" i="1"/>
  <c r="V21" i="1"/>
  <c r="V33" i="1"/>
  <c r="W37" i="1"/>
  <c r="S57" i="1" l="1"/>
  <c r="T61" i="1"/>
  <c r="V53" i="1"/>
  <c r="U49" i="1"/>
  <c r="S65" i="1"/>
  <c r="T69" i="1"/>
  <c r="U25" i="1"/>
  <c r="V29" i="1"/>
  <c r="U33" i="1"/>
  <c r="V37" i="1"/>
  <c r="T17" i="1"/>
  <c r="N23" i="1"/>
  <c r="U41" i="1"/>
  <c r="V45" i="1"/>
  <c r="T49" i="1" l="1"/>
  <c r="N55" i="1"/>
  <c r="R57" i="1"/>
  <c r="S61" i="1"/>
  <c r="T25" i="1"/>
  <c r="N31" i="1"/>
  <c r="R65" i="1"/>
  <c r="S69" i="1"/>
  <c r="N39" i="1"/>
  <c r="T33" i="1"/>
  <c r="T41" i="1"/>
  <c r="N47" i="1"/>
  <c r="T21" i="1"/>
  <c r="S17" i="1"/>
  <c r="Q57" i="1" l="1"/>
  <c r="R61" i="1"/>
  <c r="S49" i="1"/>
  <c r="T53" i="1"/>
  <c r="T37" i="1"/>
  <c r="S33" i="1"/>
  <c r="Q65" i="1"/>
  <c r="R69" i="1"/>
  <c r="S41" i="1"/>
  <c r="T45" i="1"/>
  <c r="R17" i="1"/>
  <c r="S21" i="1"/>
  <c r="S25" i="1"/>
  <c r="T29" i="1"/>
  <c r="S53" i="1" l="1"/>
  <c r="R49" i="1"/>
  <c r="P57" i="1"/>
  <c r="O57" i="1" s="1"/>
  <c r="Q61" i="1"/>
  <c r="U63" i="1" s="1"/>
  <c r="R41" i="1"/>
  <c r="S45" i="1"/>
  <c r="P65" i="1"/>
  <c r="O65" i="1" s="1"/>
  <c r="Q69" i="1"/>
  <c r="U71" i="1" s="1"/>
  <c r="R25" i="1"/>
  <c r="S29" i="1"/>
  <c r="S37" i="1"/>
  <c r="R33" i="1"/>
  <c r="Q17" i="1"/>
  <c r="R21" i="1"/>
  <c r="N57" i="1" l="1"/>
  <c r="O61" i="1"/>
  <c r="Q49" i="1"/>
  <c r="R53" i="1"/>
  <c r="Q25" i="1"/>
  <c r="R29" i="1"/>
  <c r="N65" i="1"/>
  <c r="O69" i="1"/>
  <c r="P17" i="1"/>
  <c r="O17" i="1" s="1"/>
  <c r="Q21" i="1"/>
  <c r="U23" i="1" s="1"/>
  <c r="R37" i="1"/>
  <c r="Q33" i="1"/>
  <c r="Q41" i="1"/>
  <c r="R45" i="1"/>
  <c r="P49" i="1" l="1"/>
  <c r="O49" i="1" s="1"/>
  <c r="Q53" i="1"/>
  <c r="U55" i="1" s="1"/>
  <c r="M57" i="1"/>
  <c r="N61" i="1"/>
  <c r="N17" i="1"/>
  <c r="O21" i="1"/>
  <c r="M65" i="1"/>
  <c r="N69" i="1"/>
  <c r="P33" i="1"/>
  <c r="O33" i="1" s="1"/>
  <c r="Q37" i="1"/>
  <c r="U39" i="1" s="1"/>
  <c r="P41" i="1"/>
  <c r="O41" i="1" s="1"/>
  <c r="Q45" i="1"/>
  <c r="U47" i="1" s="1"/>
  <c r="P25" i="1"/>
  <c r="O25" i="1" s="1"/>
  <c r="Q29" i="1"/>
  <c r="U31" i="1" s="1"/>
  <c r="L57" i="1" l="1"/>
  <c r="M61" i="1"/>
  <c r="N49" i="1"/>
  <c r="O53" i="1"/>
  <c r="O37" i="1"/>
  <c r="N33" i="1"/>
  <c r="N25" i="1"/>
  <c r="O29" i="1"/>
  <c r="M17" i="1"/>
  <c r="N21" i="1"/>
  <c r="L65" i="1"/>
  <c r="M69" i="1"/>
  <c r="N41" i="1"/>
  <c r="O45" i="1"/>
  <c r="M49" i="1" l="1"/>
  <c r="N53" i="1"/>
  <c r="K57" i="1"/>
  <c r="J57" i="1" s="1"/>
  <c r="L61" i="1"/>
  <c r="M25" i="1"/>
  <c r="N29" i="1"/>
  <c r="M33" i="1"/>
  <c r="N37" i="1"/>
  <c r="K65" i="1"/>
  <c r="J65" i="1" s="1"/>
  <c r="L69" i="1"/>
  <c r="L17" i="1"/>
  <c r="M21" i="1"/>
  <c r="M41" i="1"/>
  <c r="N45" i="1"/>
  <c r="I57" i="1" l="1"/>
  <c r="J61" i="1"/>
  <c r="M53" i="1"/>
  <c r="L49" i="1"/>
  <c r="L41" i="1"/>
  <c r="M45" i="1"/>
  <c r="L25" i="1"/>
  <c r="M29" i="1"/>
  <c r="M37" i="1"/>
  <c r="L33" i="1"/>
  <c r="I65" i="1"/>
  <c r="J69" i="1"/>
  <c r="K17" i="1"/>
  <c r="J17" i="1" s="1"/>
  <c r="L21" i="1"/>
  <c r="K49" i="1" l="1"/>
  <c r="J49" i="1" s="1"/>
  <c r="L53" i="1"/>
  <c r="H57" i="1"/>
  <c r="I61" i="1"/>
  <c r="L37" i="1"/>
  <c r="K33" i="1"/>
  <c r="J33" i="1" s="1"/>
  <c r="K25" i="1"/>
  <c r="J25" i="1" s="1"/>
  <c r="L29" i="1"/>
  <c r="H65" i="1"/>
  <c r="I69" i="1"/>
  <c r="I17" i="1"/>
  <c r="J21" i="1"/>
  <c r="K41" i="1"/>
  <c r="J41" i="1" s="1"/>
  <c r="L45" i="1"/>
  <c r="G57" i="1" l="1"/>
  <c r="H61" i="1"/>
  <c r="I49" i="1"/>
  <c r="J53" i="1"/>
  <c r="I25" i="1"/>
  <c r="J29" i="1"/>
  <c r="G65" i="1"/>
  <c r="H69" i="1"/>
  <c r="I41" i="1"/>
  <c r="J45" i="1"/>
  <c r="I33" i="1"/>
  <c r="J37" i="1"/>
  <c r="H17" i="1"/>
  <c r="I21" i="1"/>
  <c r="I53" i="1" l="1"/>
  <c r="H49" i="1"/>
  <c r="J63" i="1"/>
  <c r="AB63" i="1" s="1"/>
  <c r="AF58" i="1" s="1"/>
  <c r="G61" i="1"/>
  <c r="H41" i="1"/>
  <c r="I45" i="1"/>
  <c r="J71" i="1"/>
  <c r="AB71" i="1" s="1"/>
  <c r="AF66" i="1" s="1"/>
  <c r="G69" i="1"/>
  <c r="G17" i="1"/>
  <c r="H21" i="1"/>
  <c r="I37" i="1"/>
  <c r="H33" i="1"/>
  <c r="H25" i="1"/>
  <c r="I29" i="1"/>
  <c r="R63" i="1" l="1"/>
  <c r="AA61" i="1"/>
  <c r="Y63" i="1" s="1"/>
  <c r="H53" i="1"/>
  <c r="G49" i="1"/>
  <c r="G21" i="1"/>
  <c r="J23" i="1"/>
  <c r="AB23" i="1" s="1"/>
  <c r="AF18" i="1" s="1"/>
  <c r="AA69" i="1"/>
  <c r="Y71" i="1" s="1"/>
  <c r="R71" i="1"/>
  <c r="G33" i="1"/>
  <c r="H37" i="1"/>
  <c r="G25" i="1"/>
  <c r="H29" i="1"/>
  <c r="G41" i="1"/>
  <c r="H45" i="1"/>
  <c r="J55" i="1" l="1"/>
  <c r="AB55" i="1" s="1"/>
  <c r="AF50" i="1" s="1"/>
  <c r="G53" i="1"/>
  <c r="J31" i="1"/>
  <c r="AB31" i="1" s="1"/>
  <c r="AF26" i="1" s="1"/>
  <c r="G29" i="1"/>
  <c r="G37" i="1"/>
  <c r="J39" i="1"/>
  <c r="AB39" i="1" s="1"/>
  <c r="AF34" i="1" s="1"/>
  <c r="J47" i="1"/>
  <c r="AB47" i="1" s="1"/>
  <c r="AF42" i="1" s="1"/>
  <c r="G45" i="1"/>
  <c r="R23" i="1"/>
  <c r="AA21" i="1"/>
  <c r="Y23" i="1" s="1"/>
  <c r="R55" i="1" l="1"/>
  <c r="AA53" i="1"/>
  <c r="Y55" i="1" s="1"/>
  <c r="R47" i="1"/>
  <c r="AA45" i="1"/>
  <c r="Y47" i="1" s="1"/>
  <c r="AA37" i="1"/>
  <c r="Y39" i="1" s="1"/>
  <c r="R39" i="1"/>
  <c r="R31" i="1"/>
  <c r="AA29" i="1"/>
  <c r="Y31" i="1" s="1"/>
</calcChain>
</file>

<file path=xl/sharedStrings.xml><?xml version="1.0" encoding="utf-8"?>
<sst xmlns="http://schemas.openxmlformats.org/spreadsheetml/2006/main" count="314" uniqueCount="69">
  <si>
    <t xml:space="preserve">A = </t>
  </si>
  <si>
    <t xml:space="preserve">C = </t>
  </si>
  <si>
    <t>X2 =</t>
  </si>
  <si>
    <t>X4 =</t>
  </si>
  <si>
    <t>X3 =</t>
  </si>
  <si>
    <t>X1 =</t>
  </si>
  <si>
    <t>X5 =</t>
  </si>
  <si>
    <t>X6 =</t>
  </si>
  <si>
    <t>X7 =</t>
  </si>
  <si>
    <t>X8 =</t>
  </si>
  <si>
    <t>X9 =</t>
  </si>
  <si>
    <t>X10 =</t>
  </si>
  <si>
    <t>X11 =</t>
  </si>
  <si>
    <t>X12 =</t>
  </si>
  <si>
    <t>=</t>
  </si>
  <si>
    <t>ОДЗ:</t>
  </si>
  <si>
    <t>B1=</t>
  </si>
  <si>
    <t>B2=</t>
  </si>
  <si>
    <t>B3=</t>
  </si>
  <si>
    <t>B4=</t>
  </si>
  <si>
    <t>B5=</t>
  </si>
  <si>
    <t>B6=</t>
  </si>
  <si>
    <t>B7=</t>
  </si>
  <si>
    <t>B8=</t>
  </si>
  <si>
    <t>B9=</t>
  </si>
  <si>
    <t>B10=</t>
  </si>
  <si>
    <t>B11=</t>
  </si>
  <si>
    <t>B12=</t>
  </si>
  <si>
    <t>-B1=</t>
  </si>
  <si>
    <t>-B2=</t>
  </si>
  <si>
    <t>-B3=</t>
  </si>
  <si>
    <t>-B4=</t>
  </si>
  <si>
    <t>-B5=</t>
  </si>
  <si>
    <t>-B6=</t>
  </si>
  <si>
    <r>
      <t>B1</t>
    </r>
    <r>
      <rPr>
        <sz val="8"/>
        <color theme="1"/>
        <rFont val="Calibri"/>
        <family val="2"/>
        <charset val="204"/>
        <scheme val="minor"/>
      </rPr>
      <t>(2)</t>
    </r>
  </si>
  <si>
    <r>
      <t>B2</t>
    </r>
    <r>
      <rPr>
        <sz val="8"/>
        <color theme="1"/>
        <rFont val="Calibri"/>
        <family val="2"/>
        <charset val="204"/>
        <scheme val="minor"/>
      </rPr>
      <t>(2)</t>
    </r>
  </si>
  <si>
    <t>+</t>
  </si>
  <si>
    <r>
      <t>B3</t>
    </r>
    <r>
      <rPr>
        <sz val="8"/>
        <color theme="1"/>
        <rFont val="Calibri"/>
        <family val="2"/>
        <charset val="204"/>
        <scheme val="minor"/>
      </rPr>
      <t>(2)</t>
    </r>
  </si>
  <si>
    <r>
      <t>B7</t>
    </r>
    <r>
      <rPr>
        <sz val="8"/>
        <color theme="1"/>
        <rFont val="Calibri"/>
        <family val="2"/>
        <charset val="204"/>
        <scheme val="minor"/>
      </rPr>
      <t>(2)</t>
    </r>
  </si>
  <si>
    <r>
      <t>B8</t>
    </r>
    <r>
      <rPr>
        <sz val="8"/>
        <color theme="1"/>
        <rFont val="Calibri"/>
        <family val="2"/>
        <charset val="204"/>
        <scheme val="minor"/>
      </rPr>
      <t>(2)</t>
    </r>
  </si>
  <si>
    <r>
      <t>B9</t>
    </r>
    <r>
      <rPr>
        <sz val="8"/>
        <color theme="1"/>
        <rFont val="Calibri"/>
        <family val="2"/>
        <charset val="204"/>
        <scheme val="minor"/>
      </rPr>
      <t>(2)</t>
    </r>
  </si>
  <si>
    <r>
      <t>B11</t>
    </r>
    <r>
      <rPr>
        <sz val="8"/>
        <color theme="1"/>
        <rFont val="Calibri"/>
        <family val="2"/>
        <charset val="204"/>
        <scheme val="minor"/>
      </rPr>
      <t>(2)</t>
    </r>
  </si>
  <si>
    <t>---------</t>
  </si>
  <si>
    <t>----</t>
  </si>
  <si>
    <t>--</t>
  </si>
  <si>
    <r>
      <rPr>
        <sz val="8"/>
        <color theme="1"/>
        <rFont val="Calibri"/>
        <family val="2"/>
        <charset val="204"/>
        <scheme val="minor"/>
      </rPr>
      <t xml:space="preserve">(2)    </t>
    </r>
    <r>
      <rPr>
        <sz val="11"/>
        <color theme="1"/>
        <rFont val="Calibri"/>
        <family val="2"/>
        <charset val="204"/>
        <scheme val="minor"/>
      </rPr>
      <t>=</t>
    </r>
  </si>
  <si>
    <t>(10)</t>
  </si>
  <si>
    <t>------------</t>
  </si>
  <si>
    <r>
      <t>X2</t>
    </r>
    <r>
      <rPr>
        <sz val="8"/>
        <color theme="1"/>
        <rFont val="Calibri"/>
        <family val="2"/>
        <charset val="204"/>
        <scheme val="minor"/>
      </rPr>
      <t>(10)</t>
    </r>
  </si>
  <si>
    <r>
      <t>X1</t>
    </r>
    <r>
      <rPr>
        <sz val="8"/>
        <color theme="1"/>
        <rFont val="Calibri"/>
        <family val="2"/>
        <charset val="204"/>
        <scheme val="minor"/>
      </rPr>
      <t>(10)</t>
    </r>
  </si>
  <si>
    <t>Результат выполнения операции верный и корректный, совпадает с суммой десятичных эквивалентов.</t>
  </si>
  <si>
    <t>При сложении положительных чисел был получен отрицательный результат, он не корректный из за переполнения.</t>
  </si>
  <si>
    <t>При сложении отрицательных чисел был получен положительный результат, он не корректный из за переполнения.</t>
  </si>
  <si>
    <t>00</t>
  </si>
  <si>
    <t>01</t>
  </si>
  <si>
    <t>1-0</t>
  </si>
  <si>
    <t>1-1</t>
  </si>
  <si>
    <t>OF=</t>
  </si>
  <si>
    <t>CF=</t>
  </si>
  <si>
    <t>AF=</t>
  </si>
  <si>
    <t>PF=</t>
  </si>
  <si>
    <t>SF=</t>
  </si>
  <si>
    <t>ZF=</t>
  </si>
  <si>
    <r>
      <t>X3</t>
    </r>
    <r>
      <rPr>
        <sz val="8"/>
        <color theme="1"/>
        <rFont val="Calibri"/>
        <family val="2"/>
        <charset val="204"/>
        <scheme val="minor"/>
      </rPr>
      <t>(10)</t>
    </r>
  </si>
  <si>
    <r>
      <t>X7</t>
    </r>
    <r>
      <rPr>
        <sz val="8"/>
        <color theme="1"/>
        <rFont val="Calibri"/>
        <family val="2"/>
        <charset val="204"/>
        <scheme val="minor"/>
      </rPr>
      <t>(10)</t>
    </r>
  </si>
  <si>
    <r>
      <t>X8</t>
    </r>
    <r>
      <rPr>
        <sz val="8"/>
        <color theme="1"/>
        <rFont val="Calibri"/>
        <family val="2"/>
        <charset val="204"/>
        <scheme val="minor"/>
      </rPr>
      <t>(10)</t>
    </r>
  </si>
  <si>
    <r>
      <t>X9</t>
    </r>
    <r>
      <rPr>
        <sz val="8"/>
        <color theme="1"/>
        <rFont val="Calibri"/>
        <family val="2"/>
        <charset val="204"/>
        <scheme val="minor"/>
      </rPr>
      <t>(10)</t>
    </r>
  </si>
  <si>
    <r>
      <t>X11</t>
    </r>
    <r>
      <rPr>
        <sz val="8"/>
        <color theme="1"/>
        <rFont val="Calibri"/>
        <family val="2"/>
        <charset val="204"/>
        <scheme val="minor"/>
      </rPr>
      <t>(10)</t>
    </r>
  </si>
  <si>
    <t>Результат выполнения операции с отрицательным числом(числами) верный и корректный, совпадает с суммой десятичных эквивалентов.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</si>
</sst>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rgb="FF444444"/>
      <name val="Consolas"/>
      <family val="3"/>
      <charset val="204"/>
    </font>
    <font>
      <sz val="11"/>
      <color rgb="FFFF000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/>
    <xf numFmtId="0" fontId="0" fillId="0" borderId="0" xfId="0" applyAlignment="1">
      <alignment wrapText="1"/>
    </xf>
    <xf numFmtId="0" fontId="2" fillId="0" borderId="0" xfId="0" quotePrefix="1" applyFont="1"/>
    <xf numFmtId="16" fontId="0" fillId="0" borderId="0" xfId="0" quotePrefix="1" applyNumberFormat="1"/>
    <xf numFmtId="0" fontId="3" fillId="0" borderId="0" xfId="0" applyFont="1"/>
    <xf numFmtId="0" fontId="4" fillId="0" borderId="0" xfId="0" applyFont="1" applyAlignment="1">
      <alignment horizontal="left" vertical="center" indent="1"/>
    </xf>
    <xf numFmtId="0" fontId="1" fillId="0" borderId="0" xfId="0" applyFont="1"/>
  </cellXfs>
  <cellStyles count="1">
    <cellStyle name="Обычный" xfId="0" builtinId="0"/>
  </cellStyles>
  <dxfs count="3">
    <dxf>
      <fill>
        <patternFill>
          <bgColor theme="4"/>
        </patternFill>
      </fill>
    </dxf>
    <dxf>
      <fill>
        <patternFill>
          <bgColor rgb="FF0070C0"/>
        </patternFill>
      </fill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41D1-4CD0-4A15-96D4-3B0C5714F8C9}">
  <dimension ref="B1:AG71"/>
  <sheetViews>
    <sheetView tabSelected="1" view="pageLayout" zoomScaleNormal="100" workbookViewId="0">
      <selection activeCell="O13" sqref="O13"/>
    </sheetView>
  </sheetViews>
  <sheetFormatPr defaultRowHeight="14.4" x14ac:dyDescent="0.3"/>
  <cols>
    <col min="4" max="4" width="4.6640625" customWidth="1"/>
    <col min="5" max="5" width="6.77734375" customWidth="1"/>
    <col min="6" max="6" width="6.109375" customWidth="1"/>
    <col min="7" max="7" width="3.21875" customWidth="1"/>
    <col min="8" max="8" width="3.44140625" customWidth="1"/>
    <col min="9" max="9" width="3.5546875" customWidth="1"/>
    <col min="10" max="10" width="3.44140625" customWidth="1"/>
    <col min="11" max="12" width="3.33203125" customWidth="1"/>
    <col min="13" max="13" width="3.5546875" customWidth="1"/>
    <col min="14" max="14" width="3.33203125" customWidth="1"/>
    <col min="15" max="17" width="3.44140625" customWidth="1"/>
    <col min="18" max="19" width="3.21875" customWidth="1"/>
    <col min="20" max="20" width="3.33203125" customWidth="1"/>
    <col min="21" max="21" width="3.5546875" customWidth="1"/>
    <col min="22" max="22" width="3.44140625" customWidth="1"/>
    <col min="23" max="23" width="3.33203125" customWidth="1"/>
    <col min="24" max="24" width="3.44140625" customWidth="1"/>
    <col min="25" max="25" width="3.21875" customWidth="1"/>
    <col min="26" max="26" width="5.109375" customWidth="1"/>
    <col min="28" max="28" width="5.33203125" customWidth="1"/>
  </cols>
  <sheetData>
    <row r="1" spans="2:33" x14ac:dyDescent="0.3">
      <c r="B1" s="1" t="s">
        <v>0</v>
      </c>
      <c r="C1">
        <v>8361</v>
      </c>
      <c r="D1" t="s">
        <v>15</v>
      </c>
      <c r="E1">
        <f>IF(2^D2&gt;C7,-1*2^D2,0)</f>
        <v>-65536</v>
      </c>
      <c r="F1">
        <f>IF(2^D2&gt;C7,2^D2,0)</f>
        <v>65536</v>
      </c>
    </row>
    <row r="2" spans="2:33" x14ac:dyDescent="0.3">
      <c r="B2" s="1" t="s">
        <v>1</v>
      </c>
      <c r="C2">
        <v>16090</v>
      </c>
      <c r="D2">
        <v>16</v>
      </c>
    </row>
    <row r="3" spans="2:33" x14ac:dyDescent="0.3">
      <c r="G3">
        <v>18</v>
      </c>
      <c r="H3">
        <v>17</v>
      </c>
      <c r="I3">
        <v>16</v>
      </c>
      <c r="J3">
        <v>15</v>
      </c>
      <c r="K3">
        <v>14</v>
      </c>
      <c r="L3">
        <v>13</v>
      </c>
      <c r="M3">
        <v>12</v>
      </c>
      <c r="N3">
        <v>11</v>
      </c>
      <c r="O3">
        <v>10</v>
      </c>
      <c r="P3">
        <v>9</v>
      </c>
      <c r="Q3">
        <v>8</v>
      </c>
      <c r="R3">
        <v>7</v>
      </c>
      <c r="S3">
        <v>6</v>
      </c>
      <c r="T3">
        <v>5</v>
      </c>
      <c r="U3">
        <v>4</v>
      </c>
      <c r="V3">
        <v>3</v>
      </c>
      <c r="W3">
        <v>2</v>
      </c>
      <c r="X3">
        <v>1</v>
      </c>
      <c r="Y3">
        <v>0</v>
      </c>
      <c r="AF3" s="3" t="s">
        <v>53</v>
      </c>
      <c r="AG3" t="s">
        <v>50</v>
      </c>
    </row>
    <row r="4" spans="2:33" x14ac:dyDescent="0.3">
      <c r="B4" s="1" t="s">
        <v>5</v>
      </c>
      <c r="C4">
        <f>C1</f>
        <v>8361</v>
      </c>
      <c r="E4" s="1" t="s">
        <v>16</v>
      </c>
      <c r="F4" s="1"/>
      <c r="G4" s="1" t="str">
        <f t="shared" ref="G4:P6" si="0">IF(MOD(G$3+1,5)=0,".",MID(_xlfn.BASE(MOD($C4+$F$1,$F$1)+2^16,2),17+ROUNDDOWN(G$3/5,0)-G$3,1))</f>
        <v>0</v>
      </c>
      <c r="H4" s="1" t="str">
        <f t="shared" si="0"/>
        <v>0</v>
      </c>
      <c r="I4" s="1" t="str">
        <f t="shared" si="0"/>
        <v>1</v>
      </c>
      <c r="J4" s="1" t="str">
        <f t="shared" si="0"/>
        <v>0</v>
      </c>
      <c r="K4" s="1" t="str">
        <f t="shared" si="0"/>
        <v>.</v>
      </c>
      <c r="L4" s="1" t="str">
        <f t="shared" si="0"/>
        <v>0</v>
      </c>
      <c r="M4" s="1" t="str">
        <f t="shared" si="0"/>
        <v>0</v>
      </c>
      <c r="N4" s="1" t="str">
        <f t="shared" si="0"/>
        <v>0</v>
      </c>
      <c r="O4" s="1" t="str">
        <f t="shared" si="0"/>
        <v>0</v>
      </c>
      <c r="P4" s="1" t="str">
        <f t="shared" si="0"/>
        <v>.</v>
      </c>
      <c r="Q4" s="1" t="str">
        <f t="shared" ref="Q4:Y6" si="1">IF(MOD(Q$3+1,5)=0,".",MID(_xlfn.BASE(MOD($C4+$F$1,$F$1)+2^16,2),17+ROUNDDOWN(Q$3/5,0)-Q$3,1))</f>
        <v>1</v>
      </c>
      <c r="R4" s="1" t="str">
        <f t="shared" si="1"/>
        <v>0</v>
      </c>
      <c r="S4" s="1" t="str">
        <f t="shared" si="1"/>
        <v>1</v>
      </c>
      <c r="T4" s="1" t="str">
        <f t="shared" si="1"/>
        <v>0</v>
      </c>
      <c r="U4" s="1" t="str">
        <f t="shared" si="1"/>
        <v>.</v>
      </c>
      <c r="V4" s="1" t="str">
        <f t="shared" si="1"/>
        <v>1</v>
      </c>
      <c r="W4" s="1" t="str">
        <f t="shared" si="1"/>
        <v>0</v>
      </c>
      <c r="X4" s="1" t="str">
        <f t="shared" si="1"/>
        <v>0</v>
      </c>
      <c r="Y4" s="1" t="str">
        <f t="shared" si="1"/>
        <v>1</v>
      </c>
      <c r="AF4" s="3" t="s">
        <v>54</v>
      </c>
      <c r="AG4" t="s">
        <v>68</v>
      </c>
    </row>
    <row r="5" spans="2:33" x14ac:dyDescent="0.3">
      <c r="B5" s="1" t="s">
        <v>2</v>
      </c>
      <c r="C5">
        <f>C2</f>
        <v>16090</v>
      </c>
      <c r="E5" s="1" t="s">
        <v>17</v>
      </c>
      <c r="F5" s="1"/>
      <c r="G5" s="1" t="str">
        <f t="shared" si="0"/>
        <v>0</v>
      </c>
      <c r="H5" s="1" t="str">
        <f t="shared" si="0"/>
        <v>0</v>
      </c>
      <c r="I5" s="1" t="str">
        <f t="shared" si="0"/>
        <v>1</v>
      </c>
      <c r="J5" s="1" t="str">
        <f t="shared" si="0"/>
        <v>1</v>
      </c>
      <c r="K5" s="1" t="str">
        <f t="shared" si="0"/>
        <v>.</v>
      </c>
      <c r="L5" s="1" t="str">
        <f t="shared" si="0"/>
        <v>1</v>
      </c>
      <c r="M5" s="1" t="str">
        <f t="shared" si="0"/>
        <v>1</v>
      </c>
      <c r="N5" s="1" t="str">
        <f t="shared" si="0"/>
        <v>1</v>
      </c>
      <c r="O5" s="1" t="str">
        <f t="shared" si="0"/>
        <v>0</v>
      </c>
      <c r="P5" s="1" t="str">
        <f t="shared" si="0"/>
        <v>.</v>
      </c>
      <c r="Q5" s="1" t="str">
        <f t="shared" si="1"/>
        <v>1</v>
      </c>
      <c r="R5" s="1" t="str">
        <f t="shared" si="1"/>
        <v>1</v>
      </c>
      <c r="S5" s="1" t="str">
        <f t="shared" si="1"/>
        <v>0</v>
      </c>
      <c r="T5" s="1" t="str">
        <f t="shared" si="1"/>
        <v>1</v>
      </c>
      <c r="U5" s="1" t="str">
        <f t="shared" si="1"/>
        <v>.</v>
      </c>
      <c r="V5" s="1" t="str">
        <f t="shared" si="1"/>
        <v>1</v>
      </c>
      <c r="W5" s="1" t="str">
        <f t="shared" si="1"/>
        <v>0</v>
      </c>
      <c r="X5" s="1" t="str">
        <f t="shared" si="1"/>
        <v>1</v>
      </c>
      <c r="Y5" s="1" t="str">
        <f t="shared" si="1"/>
        <v>0</v>
      </c>
      <c r="AF5" t="s">
        <v>55</v>
      </c>
      <c r="AG5" t="s">
        <v>51</v>
      </c>
    </row>
    <row r="6" spans="2:33" x14ac:dyDescent="0.3">
      <c r="B6" s="1" t="s">
        <v>4</v>
      </c>
      <c r="C6">
        <f>C1+C2</f>
        <v>24451</v>
      </c>
      <c r="E6" s="1" t="s">
        <v>18</v>
      </c>
      <c r="F6" s="1"/>
      <c r="G6" s="1" t="str">
        <f t="shared" si="0"/>
        <v>0</v>
      </c>
      <c r="H6" s="1" t="str">
        <f t="shared" si="0"/>
        <v>1</v>
      </c>
      <c r="I6" s="1" t="str">
        <f t="shared" si="0"/>
        <v>0</v>
      </c>
      <c r="J6" s="1" t="str">
        <f t="shared" si="0"/>
        <v>1</v>
      </c>
      <c r="K6" s="1" t="str">
        <f t="shared" si="0"/>
        <v>.</v>
      </c>
      <c r="L6" s="1" t="str">
        <f t="shared" si="0"/>
        <v>1</v>
      </c>
      <c r="M6" s="1" t="str">
        <f t="shared" si="0"/>
        <v>1</v>
      </c>
      <c r="N6" s="1" t="str">
        <f t="shared" si="0"/>
        <v>1</v>
      </c>
      <c r="O6" s="1" t="str">
        <f t="shared" si="0"/>
        <v>1</v>
      </c>
      <c r="P6" s="1" t="str">
        <f t="shared" si="0"/>
        <v>.</v>
      </c>
      <c r="Q6" s="1" t="str">
        <f t="shared" si="1"/>
        <v>1</v>
      </c>
      <c r="R6" s="1" t="str">
        <f t="shared" si="1"/>
        <v>0</v>
      </c>
      <c r="S6" s="1" t="str">
        <f t="shared" si="1"/>
        <v>0</v>
      </c>
      <c r="T6" s="1" t="str">
        <f t="shared" si="1"/>
        <v>0</v>
      </c>
      <c r="U6" s="1" t="str">
        <f t="shared" si="1"/>
        <v>.</v>
      </c>
      <c r="V6" s="1" t="str">
        <f t="shared" si="1"/>
        <v>0</v>
      </c>
      <c r="W6" s="1" t="str">
        <f t="shared" si="1"/>
        <v>0</v>
      </c>
      <c r="X6" s="1" t="str">
        <f t="shared" si="1"/>
        <v>1</v>
      </c>
      <c r="Y6" s="1" t="str">
        <f t="shared" si="1"/>
        <v>1</v>
      </c>
      <c r="Z6" s="1"/>
      <c r="AF6" s="6" t="s">
        <v>56</v>
      </c>
      <c r="AG6" t="s">
        <v>52</v>
      </c>
    </row>
    <row r="7" spans="2:33" x14ac:dyDescent="0.3">
      <c r="B7" s="1" t="s">
        <v>3</v>
      </c>
      <c r="C7">
        <f>C1+C2+C2</f>
        <v>40541</v>
      </c>
      <c r="E7" s="1" t="s">
        <v>19</v>
      </c>
      <c r="F7" s="1"/>
      <c r="G7" s="1" t="str">
        <f t="shared" ref="G7:Y7" si="2">IF(MOD(G$3+1,5)=0,".",MID(_xlfn.BASE(MOD($C7+$F$1,$F$1)+2^16,2),17+ROUNDDOWN(G$3/5,0)-G$3,1))</f>
        <v>1</v>
      </c>
      <c r="H7" s="1" t="str">
        <f t="shared" si="2"/>
        <v>0</v>
      </c>
      <c r="I7" s="1" t="str">
        <f t="shared" si="2"/>
        <v>0</v>
      </c>
      <c r="J7" s="1" t="str">
        <f t="shared" si="2"/>
        <v>1</v>
      </c>
      <c r="K7" s="1" t="str">
        <f t="shared" si="2"/>
        <v>.</v>
      </c>
      <c r="L7" s="1" t="str">
        <f t="shared" si="2"/>
        <v>1</v>
      </c>
      <c r="M7" s="1" t="str">
        <f t="shared" si="2"/>
        <v>1</v>
      </c>
      <c r="N7" s="1" t="str">
        <f t="shared" si="2"/>
        <v>1</v>
      </c>
      <c r="O7" s="1" t="str">
        <f t="shared" si="2"/>
        <v>0</v>
      </c>
      <c r="P7" s="1" t="str">
        <f t="shared" si="2"/>
        <v>.</v>
      </c>
      <c r="Q7" s="1" t="str">
        <f t="shared" si="2"/>
        <v>0</v>
      </c>
      <c r="R7" s="1" t="str">
        <f t="shared" si="2"/>
        <v>1</v>
      </c>
      <c r="S7" s="1" t="str">
        <f t="shared" si="2"/>
        <v>0</v>
      </c>
      <c r="T7" s="1" t="str">
        <f t="shared" si="2"/>
        <v>1</v>
      </c>
      <c r="U7" s="1" t="str">
        <f t="shared" si="2"/>
        <v>.</v>
      </c>
      <c r="V7" s="1" t="str">
        <f t="shared" si="2"/>
        <v>1</v>
      </c>
      <c r="W7" s="1" t="str">
        <f t="shared" si="2"/>
        <v>1</v>
      </c>
      <c r="X7" s="1" t="str">
        <f t="shared" si="2"/>
        <v>0</v>
      </c>
      <c r="Y7" s="1" t="str">
        <f t="shared" si="2"/>
        <v>1</v>
      </c>
    </row>
    <row r="8" spans="2:33" x14ac:dyDescent="0.3">
      <c r="B8" s="1" t="s">
        <v>6</v>
      </c>
      <c r="C8">
        <f>C2-C1</f>
        <v>7729</v>
      </c>
      <c r="E8" s="1" t="s">
        <v>20</v>
      </c>
      <c r="F8" s="1"/>
      <c r="G8" s="1" t="str">
        <f t="shared" ref="G8:P15" si="3">IF(MOD(G$3+1,5)=0,".",MID(_xlfn.BASE(MOD($C8+$F$1,$F$1)+2^16,2),17+ROUNDDOWN(G$3/5,0)-G$3,1))</f>
        <v>0</v>
      </c>
      <c r="H8" s="1" t="str">
        <f t="shared" si="3"/>
        <v>0</v>
      </c>
      <c r="I8" s="1" t="str">
        <f t="shared" si="3"/>
        <v>0</v>
      </c>
      <c r="J8" s="1" t="str">
        <f t="shared" si="3"/>
        <v>1</v>
      </c>
      <c r="K8" s="1" t="str">
        <f t="shared" si="3"/>
        <v>.</v>
      </c>
      <c r="L8" s="1" t="str">
        <f t="shared" si="3"/>
        <v>1</v>
      </c>
      <c r="M8" s="1" t="str">
        <f t="shared" si="3"/>
        <v>1</v>
      </c>
      <c r="N8" s="1" t="str">
        <f t="shared" si="3"/>
        <v>1</v>
      </c>
      <c r="O8" s="1" t="str">
        <f t="shared" si="3"/>
        <v>0</v>
      </c>
      <c r="P8" s="1" t="str">
        <f t="shared" si="3"/>
        <v>.</v>
      </c>
      <c r="Q8" s="1" t="str">
        <f t="shared" ref="Q8:Y15" si="4">IF(MOD(Q$3+1,5)=0,".",MID(_xlfn.BASE(MOD($C8+$F$1,$F$1)+2^16,2),17+ROUNDDOWN(Q$3/5,0)-Q$3,1))</f>
        <v>0</v>
      </c>
      <c r="R8" s="1" t="str">
        <f t="shared" si="4"/>
        <v>0</v>
      </c>
      <c r="S8" s="1" t="str">
        <f t="shared" si="4"/>
        <v>1</v>
      </c>
      <c r="T8" s="1" t="str">
        <f t="shared" si="4"/>
        <v>1</v>
      </c>
      <c r="U8" s="1" t="str">
        <f t="shared" si="4"/>
        <v>.</v>
      </c>
      <c r="V8" s="1" t="str">
        <f t="shared" si="4"/>
        <v>0</v>
      </c>
      <c r="W8" s="1" t="str">
        <f t="shared" si="4"/>
        <v>0</v>
      </c>
      <c r="X8" s="1" t="str">
        <f t="shared" si="4"/>
        <v>0</v>
      </c>
      <c r="Y8" s="1" t="str">
        <f t="shared" si="4"/>
        <v>1</v>
      </c>
    </row>
    <row r="9" spans="2:33" x14ac:dyDescent="0.3">
      <c r="B9" s="1" t="s">
        <v>7</v>
      </c>
      <c r="C9">
        <f>65536-C7</f>
        <v>24995</v>
      </c>
      <c r="E9" s="1" t="s">
        <v>21</v>
      </c>
      <c r="F9" s="1"/>
      <c r="G9" s="1" t="str">
        <f t="shared" si="3"/>
        <v>0</v>
      </c>
      <c r="H9" s="1" t="str">
        <f t="shared" si="3"/>
        <v>1</v>
      </c>
      <c r="I9" s="1" t="str">
        <f t="shared" si="3"/>
        <v>1</v>
      </c>
      <c r="J9" s="1" t="str">
        <f t="shared" si="3"/>
        <v>0</v>
      </c>
      <c r="K9" s="1" t="str">
        <f t="shared" si="3"/>
        <v>.</v>
      </c>
      <c r="L9" s="1" t="str">
        <f t="shared" si="3"/>
        <v>0</v>
      </c>
      <c r="M9" s="1" t="str">
        <f t="shared" si="3"/>
        <v>0</v>
      </c>
      <c r="N9" s="1" t="str">
        <f t="shared" si="3"/>
        <v>0</v>
      </c>
      <c r="O9" s="1" t="str">
        <f t="shared" si="3"/>
        <v>1</v>
      </c>
      <c r="P9" s="1" t="str">
        <f t="shared" si="3"/>
        <v>.</v>
      </c>
      <c r="Q9" s="1" t="str">
        <f t="shared" si="4"/>
        <v>1</v>
      </c>
      <c r="R9" s="1" t="str">
        <f t="shared" si="4"/>
        <v>0</v>
      </c>
      <c r="S9" s="1" t="str">
        <f t="shared" si="4"/>
        <v>1</v>
      </c>
      <c r="T9" s="1" t="str">
        <f t="shared" si="4"/>
        <v>0</v>
      </c>
      <c r="U9" s="1" t="str">
        <f t="shared" si="4"/>
        <v>.</v>
      </c>
      <c r="V9" s="1" t="str">
        <f t="shared" si="4"/>
        <v>0</v>
      </c>
      <c r="W9" s="1" t="str">
        <f t="shared" si="4"/>
        <v>0</v>
      </c>
      <c r="X9" s="1" t="str">
        <f t="shared" si="4"/>
        <v>1</v>
      </c>
      <c r="Y9" s="1" t="str">
        <f t="shared" si="4"/>
        <v>1</v>
      </c>
    </row>
    <row r="10" spans="2:33" x14ac:dyDescent="0.3">
      <c r="B10" s="1" t="s">
        <v>8</v>
      </c>
      <c r="C10">
        <f t="shared" ref="C10:C15" si="5">-C4</f>
        <v>-8361</v>
      </c>
      <c r="E10" s="1" t="s">
        <v>22</v>
      </c>
      <c r="F10" s="2" t="s">
        <v>28</v>
      </c>
      <c r="G10" s="1" t="str">
        <f t="shared" si="3"/>
        <v>1</v>
      </c>
      <c r="H10" s="1" t="str">
        <f t="shared" si="3"/>
        <v>1</v>
      </c>
      <c r="I10" s="1" t="str">
        <f t="shared" si="3"/>
        <v>0</v>
      </c>
      <c r="J10" s="1" t="str">
        <f t="shared" si="3"/>
        <v>1</v>
      </c>
      <c r="K10" s="1" t="str">
        <f t="shared" si="3"/>
        <v>.</v>
      </c>
      <c r="L10" s="1" t="str">
        <f t="shared" si="3"/>
        <v>1</v>
      </c>
      <c r="M10" s="1" t="str">
        <f t="shared" si="3"/>
        <v>1</v>
      </c>
      <c r="N10" s="1" t="str">
        <f t="shared" si="3"/>
        <v>1</v>
      </c>
      <c r="O10" s="1" t="str">
        <f t="shared" si="3"/>
        <v>1</v>
      </c>
      <c r="P10" s="1" t="str">
        <f t="shared" si="3"/>
        <v>.</v>
      </c>
      <c r="Q10" s="1" t="str">
        <f t="shared" si="4"/>
        <v>0</v>
      </c>
      <c r="R10" s="1" t="str">
        <f t="shared" si="4"/>
        <v>1</v>
      </c>
      <c r="S10" s="1" t="str">
        <f t="shared" si="4"/>
        <v>0</v>
      </c>
      <c r="T10" s="1" t="str">
        <f t="shared" si="4"/>
        <v>1</v>
      </c>
      <c r="U10" s="1" t="str">
        <f t="shared" si="4"/>
        <v>.</v>
      </c>
      <c r="V10" s="1" t="str">
        <f t="shared" si="4"/>
        <v>0</v>
      </c>
      <c r="W10" s="1" t="str">
        <f t="shared" si="4"/>
        <v>1</v>
      </c>
      <c r="X10" s="1" t="str">
        <f t="shared" si="4"/>
        <v>1</v>
      </c>
      <c r="Y10" s="1" t="str">
        <f t="shared" si="4"/>
        <v>1</v>
      </c>
    </row>
    <row r="11" spans="2:33" x14ac:dyDescent="0.3">
      <c r="B11" s="1" t="s">
        <v>9</v>
      </c>
      <c r="C11">
        <f t="shared" si="5"/>
        <v>-16090</v>
      </c>
      <c r="E11" s="1" t="s">
        <v>23</v>
      </c>
      <c r="F11" s="2" t="s">
        <v>29</v>
      </c>
      <c r="G11" s="1" t="str">
        <f t="shared" si="3"/>
        <v>1</v>
      </c>
      <c r="H11" s="1" t="str">
        <f t="shared" si="3"/>
        <v>1</v>
      </c>
      <c r="I11" s="1" t="str">
        <f t="shared" si="3"/>
        <v>0</v>
      </c>
      <c r="J11" s="1" t="str">
        <f t="shared" si="3"/>
        <v>0</v>
      </c>
      <c r="K11" s="1" t="str">
        <f t="shared" si="3"/>
        <v>.</v>
      </c>
      <c r="L11" s="1" t="str">
        <f t="shared" si="3"/>
        <v>0</v>
      </c>
      <c r="M11" s="1" t="str">
        <f t="shared" si="3"/>
        <v>0</v>
      </c>
      <c r="N11" s="1" t="str">
        <f t="shared" si="3"/>
        <v>0</v>
      </c>
      <c r="O11" s="1" t="str">
        <f t="shared" si="3"/>
        <v>1</v>
      </c>
      <c r="P11" s="1" t="str">
        <f t="shared" si="3"/>
        <v>.</v>
      </c>
      <c r="Q11" s="1" t="str">
        <f t="shared" si="4"/>
        <v>0</v>
      </c>
      <c r="R11" s="1" t="str">
        <f t="shared" si="4"/>
        <v>0</v>
      </c>
      <c r="S11" s="1" t="str">
        <f t="shared" si="4"/>
        <v>1</v>
      </c>
      <c r="T11" s="1" t="str">
        <f t="shared" si="4"/>
        <v>0</v>
      </c>
      <c r="U11" s="1" t="str">
        <f t="shared" si="4"/>
        <v>.</v>
      </c>
      <c r="V11" s="1" t="str">
        <f t="shared" si="4"/>
        <v>0</v>
      </c>
      <c r="W11" s="1" t="str">
        <f t="shared" si="4"/>
        <v>1</v>
      </c>
      <c r="X11" s="1" t="str">
        <f t="shared" si="4"/>
        <v>1</v>
      </c>
      <c r="Y11" s="1" t="str">
        <f t="shared" si="4"/>
        <v>0</v>
      </c>
    </row>
    <row r="12" spans="2:33" x14ac:dyDescent="0.3">
      <c r="B12" s="1" t="s">
        <v>10</v>
      </c>
      <c r="C12">
        <f t="shared" si="5"/>
        <v>-24451</v>
      </c>
      <c r="E12" s="1" t="s">
        <v>24</v>
      </c>
      <c r="F12" s="2" t="s">
        <v>30</v>
      </c>
      <c r="G12" s="1" t="str">
        <f t="shared" si="3"/>
        <v>1</v>
      </c>
      <c r="H12" s="1" t="str">
        <f t="shared" si="3"/>
        <v>0</v>
      </c>
      <c r="I12" s="1" t="str">
        <f t="shared" si="3"/>
        <v>1</v>
      </c>
      <c r="J12" s="1" t="str">
        <f t="shared" si="3"/>
        <v>0</v>
      </c>
      <c r="K12" s="1" t="str">
        <f t="shared" si="3"/>
        <v>.</v>
      </c>
      <c r="L12" s="1" t="str">
        <f t="shared" si="3"/>
        <v>0</v>
      </c>
      <c r="M12" s="1" t="str">
        <f t="shared" si="3"/>
        <v>0</v>
      </c>
      <c r="N12" s="1" t="str">
        <f t="shared" si="3"/>
        <v>0</v>
      </c>
      <c r="O12" s="1" t="str">
        <f t="shared" si="3"/>
        <v>0</v>
      </c>
      <c r="P12" s="1" t="str">
        <f t="shared" si="3"/>
        <v>.</v>
      </c>
      <c r="Q12" s="1" t="str">
        <f t="shared" si="4"/>
        <v>0</v>
      </c>
      <c r="R12" s="1" t="str">
        <f t="shared" si="4"/>
        <v>1</v>
      </c>
      <c r="S12" s="1" t="str">
        <f t="shared" si="4"/>
        <v>1</v>
      </c>
      <c r="T12" s="1" t="str">
        <f t="shared" si="4"/>
        <v>1</v>
      </c>
      <c r="U12" s="1" t="str">
        <f t="shared" si="4"/>
        <v>.</v>
      </c>
      <c r="V12" s="1" t="str">
        <f t="shared" si="4"/>
        <v>1</v>
      </c>
      <c r="W12" s="1" t="str">
        <f t="shared" si="4"/>
        <v>1</v>
      </c>
      <c r="X12" s="1" t="str">
        <f t="shared" si="4"/>
        <v>0</v>
      </c>
      <c r="Y12" s="1" t="str">
        <f t="shared" si="4"/>
        <v>1</v>
      </c>
    </row>
    <row r="13" spans="2:33" x14ac:dyDescent="0.3">
      <c r="B13" s="1" t="s">
        <v>11</v>
      </c>
      <c r="C13">
        <f t="shared" si="5"/>
        <v>-40541</v>
      </c>
      <c r="E13" s="1" t="s">
        <v>25</v>
      </c>
      <c r="F13" s="2" t="s">
        <v>31</v>
      </c>
      <c r="G13" s="1" t="str">
        <f t="shared" si="3"/>
        <v>0</v>
      </c>
      <c r="H13" s="1" t="str">
        <f t="shared" si="3"/>
        <v>1</v>
      </c>
      <c r="I13" s="1" t="str">
        <f t="shared" si="3"/>
        <v>1</v>
      </c>
      <c r="J13" s="1" t="str">
        <f t="shared" si="3"/>
        <v>0</v>
      </c>
      <c r="K13" s="1" t="str">
        <f t="shared" si="3"/>
        <v>.</v>
      </c>
      <c r="L13" s="1" t="str">
        <f t="shared" si="3"/>
        <v>0</v>
      </c>
      <c r="M13" s="1" t="str">
        <f t="shared" si="3"/>
        <v>0</v>
      </c>
      <c r="N13" s="1" t="str">
        <f t="shared" si="3"/>
        <v>0</v>
      </c>
      <c r="O13" s="1" t="str">
        <f t="shared" si="3"/>
        <v>1</v>
      </c>
      <c r="P13" s="1" t="str">
        <f t="shared" si="3"/>
        <v>.</v>
      </c>
      <c r="Q13" s="1" t="str">
        <f t="shared" si="4"/>
        <v>1</v>
      </c>
      <c r="R13" s="1" t="str">
        <f t="shared" si="4"/>
        <v>0</v>
      </c>
      <c r="S13" s="1" t="str">
        <f t="shared" si="4"/>
        <v>1</v>
      </c>
      <c r="T13" s="1" t="str">
        <f t="shared" si="4"/>
        <v>0</v>
      </c>
      <c r="U13" s="1" t="str">
        <f t="shared" si="4"/>
        <v>.</v>
      </c>
      <c r="V13" s="1" t="str">
        <f t="shared" si="4"/>
        <v>0</v>
      </c>
      <c r="W13" s="1" t="str">
        <f t="shared" si="4"/>
        <v>0</v>
      </c>
      <c r="X13" s="1" t="str">
        <f t="shared" si="4"/>
        <v>1</v>
      </c>
      <c r="Y13" s="1" t="str">
        <f t="shared" si="4"/>
        <v>1</v>
      </c>
    </row>
    <row r="14" spans="2:33" x14ac:dyDescent="0.3">
      <c r="B14" s="1" t="s">
        <v>12</v>
      </c>
      <c r="C14">
        <f t="shared" si="5"/>
        <v>-7729</v>
      </c>
      <c r="E14" s="1" t="s">
        <v>26</v>
      </c>
      <c r="F14" s="2" t="s">
        <v>32</v>
      </c>
      <c r="G14" s="1" t="str">
        <f t="shared" si="3"/>
        <v>1</v>
      </c>
      <c r="H14" s="1" t="str">
        <f t="shared" si="3"/>
        <v>1</v>
      </c>
      <c r="I14" s="1" t="str">
        <f t="shared" si="3"/>
        <v>1</v>
      </c>
      <c r="J14" s="1" t="str">
        <f t="shared" si="3"/>
        <v>0</v>
      </c>
      <c r="K14" s="1" t="str">
        <f t="shared" si="3"/>
        <v>.</v>
      </c>
      <c r="L14" s="1" t="str">
        <f t="shared" si="3"/>
        <v>0</v>
      </c>
      <c r="M14" s="1" t="str">
        <f t="shared" si="3"/>
        <v>0</v>
      </c>
      <c r="N14" s="1" t="str">
        <f t="shared" si="3"/>
        <v>0</v>
      </c>
      <c r="O14" s="1" t="str">
        <f t="shared" si="3"/>
        <v>1</v>
      </c>
      <c r="P14" s="1" t="str">
        <f t="shared" si="3"/>
        <v>.</v>
      </c>
      <c r="Q14" s="1" t="str">
        <f t="shared" si="4"/>
        <v>1</v>
      </c>
      <c r="R14" s="1" t="str">
        <f t="shared" si="4"/>
        <v>1</v>
      </c>
      <c r="S14" s="1" t="str">
        <f t="shared" si="4"/>
        <v>0</v>
      </c>
      <c r="T14" s="1" t="str">
        <f t="shared" si="4"/>
        <v>0</v>
      </c>
      <c r="U14" s="1" t="str">
        <f t="shared" si="4"/>
        <v>.</v>
      </c>
      <c r="V14" s="1" t="str">
        <f t="shared" si="4"/>
        <v>1</v>
      </c>
      <c r="W14" s="1" t="str">
        <f t="shared" si="4"/>
        <v>1</v>
      </c>
      <c r="X14" s="1" t="str">
        <f t="shared" si="4"/>
        <v>1</v>
      </c>
      <c r="Y14" s="1" t="str">
        <f t="shared" si="4"/>
        <v>1</v>
      </c>
    </row>
    <row r="15" spans="2:33" x14ac:dyDescent="0.3">
      <c r="B15" s="1" t="s">
        <v>13</v>
      </c>
      <c r="C15">
        <f t="shared" si="5"/>
        <v>-24995</v>
      </c>
      <c r="E15" s="1" t="s">
        <v>27</v>
      </c>
      <c r="F15" s="2" t="s">
        <v>33</v>
      </c>
      <c r="G15" s="1" t="str">
        <f t="shared" si="3"/>
        <v>1</v>
      </c>
      <c r="H15" s="1" t="str">
        <f t="shared" si="3"/>
        <v>0</v>
      </c>
      <c r="I15" s="1" t="str">
        <f t="shared" si="3"/>
        <v>0</v>
      </c>
      <c r="J15" s="1" t="str">
        <f t="shared" si="3"/>
        <v>1</v>
      </c>
      <c r="K15" s="1" t="str">
        <f t="shared" si="3"/>
        <v>.</v>
      </c>
      <c r="L15" s="1" t="str">
        <f t="shared" si="3"/>
        <v>1</v>
      </c>
      <c r="M15" s="1" t="str">
        <f t="shared" si="3"/>
        <v>1</v>
      </c>
      <c r="N15" s="1" t="str">
        <f t="shared" si="3"/>
        <v>1</v>
      </c>
      <c r="O15" s="1" t="str">
        <f t="shared" si="3"/>
        <v>0</v>
      </c>
      <c r="P15" s="1" t="str">
        <f t="shared" si="3"/>
        <v>.</v>
      </c>
      <c r="Q15" s="1" t="str">
        <f t="shared" si="4"/>
        <v>0</v>
      </c>
      <c r="R15" s="1" t="str">
        <f t="shared" si="4"/>
        <v>1</v>
      </c>
      <c r="S15" s="1" t="str">
        <f t="shared" si="4"/>
        <v>0</v>
      </c>
      <c r="T15" s="1" t="str">
        <f t="shared" si="4"/>
        <v>1</v>
      </c>
      <c r="U15" s="1" t="str">
        <f t="shared" si="4"/>
        <v>.</v>
      </c>
      <c r="V15" s="1" t="str">
        <f t="shared" si="4"/>
        <v>1</v>
      </c>
      <c r="W15" s="1" t="str">
        <f t="shared" si="4"/>
        <v>1</v>
      </c>
      <c r="X15" s="1" t="str">
        <f t="shared" si="4"/>
        <v>0</v>
      </c>
      <c r="Y15" s="1" t="str">
        <f t="shared" si="4"/>
        <v>1</v>
      </c>
    </row>
    <row r="17" spans="4:32" x14ac:dyDescent="0.3">
      <c r="G17" s="8">
        <f t="shared" ref="G17:X17" si="6">IF(H18=".",H17,ROUNDDOWN((H17+H18+H19)/2,0))</f>
        <v>0</v>
      </c>
      <c r="H17" s="8">
        <f t="shared" si="6"/>
        <v>1</v>
      </c>
      <c r="I17" s="8">
        <f t="shared" si="6"/>
        <v>0</v>
      </c>
      <c r="J17" s="8">
        <f t="shared" si="6"/>
        <v>0</v>
      </c>
      <c r="K17" s="8">
        <f t="shared" si="6"/>
        <v>0</v>
      </c>
      <c r="L17" s="8">
        <f t="shared" si="6"/>
        <v>0</v>
      </c>
      <c r="M17" s="8">
        <f t="shared" si="6"/>
        <v>0</v>
      </c>
      <c r="N17" s="8">
        <f t="shared" si="6"/>
        <v>0</v>
      </c>
      <c r="O17" s="8">
        <f t="shared" si="6"/>
        <v>1</v>
      </c>
      <c r="P17" s="8">
        <f t="shared" si="6"/>
        <v>1</v>
      </c>
      <c r="Q17" s="8">
        <f t="shared" si="6"/>
        <v>1</v>
      </c>
      <c r="R17" s="8">
        <f t="shared" si="6"/>
        <v>1</v>
      </c>
      <c r="S17" s="8">
        <f t="shared" si="6"/>
        <v>1</v>
      </c>
      <c r="T17" s="8">
        <f t="shared" si="6"/>
        <v>1</v>
      </c>
      <c r="U17" s="8">
        <f t="shared" si="6"/>
        <v>1</v>
      </c>
      <c r="V17" s="8">
        <f t="shared" si="6"/>
        <v>0</v>
      </c>
      <c r="W17" s="8">
        <f t="shared" si="6"/>
        <v>0</v>
      </c>
      <c r="X17" s="8">
        <f t="shared" si="6"/>
        <v>0</v>
      </c>
    </row>
    <row r="18" spans="4:32" x14ac:dyDescent="0.3">
      <c r="E18" s="1" t="s">
        <v>34</v>
      </c>
      <c r="G18" s="1" t="str">
        <f t="shared" ref="G18:Y18" si="7">G4</f>
        <v>0</v>
      </c>
      <c r="H18" s="1" t="str">
        <f t="shared" si="7"/>
        <v>0</v>
      </c>
      <c r="I18" s="1" t="str">
        <f t="shared" si="7"/>
        <v>1</v>
      </c>
      <c r="J18" s="1" t="str">
        <f t="shared" si="7"/>
        <v>0</v>
      </c>
      <c r="K18" s="1" t="str">
        <f t="shared" si="7"/>
        <v>.</v>
      </c>
      <c r="L18" s="1" t="str">
        <f t="shared" si="7"/>
        <v>0</v>
      </c>
      <c r="M18" s="1" t="str">
        <f t="shared" si="7"/>
        <v>0</v>
      </c>
      <c r="N18" s="1" t="str">
        <f t="shared" si="7"/>
        <v>0</v>
      </c>
      <c r="O18" s="1" t="str">
        <f t="shared" si="7"/>
        <v>0</v>
      </c>
      <c r="P18" s="1" t="str">
        <f t="shared" si="7"/>
        <v>.</v>
      </c>
      <c r="Q18" s="1" t="str">
        <f t="shared" si="7"/>
        <v>1</v>
      </c>
      <c r="R18" s="1" t="str">
        <f t="shared" si="7"/>
        <v>0</v>
      </c>
      <c r="S18" s="1" t="str">
        <f t="shared" si="7"/>
        <v>1</v>
      </c>
      <c r="T18" s="1" t="str">
        <f t="shared" si="7"/>
        <v>0</v>
      </c>
      <c r="U18" s="1" t="str">
        <f t="shared" si="7"/>
        <v>.</v>
      </c>
      <c r="V18" s="1" t="str">
        <f t="shared" si="7"/>
        <v>1</v>
      </c>
      <c r="W18" s="1" t="str">
        <f t="shared" si="7"/>
        <v>0</v>
      </c>
      <c r="X18" s="1" t="str">
        <f t="shared" si="7"/>
        <v>0</v>
      </c>
      <c r="Y18" s="1" t="str">
        <f t="shared" si="7"/>
        <v>1</v>
      </c>
      <c r="AC18" t="s">
        <v>49</v>
      </c>
      <c r="AD18">
        <f>C4</f>
        <v>8361</v>
      </c>
      <c r="AF18" t="str">
        <f>VLOOKUP(IF(AB23=0,AB23&amp;J23,AB23&amp;"-"&amp;G18),AF$3:AG$6,2,0)</f>
        <v>Результат выполнения операции верный и корректный, совпадает с суммой десятичных эквивалентов.</v>
      </c>
    </row>
    <row r="19" spans="4:32" x14ac:dyDescent="0.3">
      <c r="D19" s="1" t="s">
        <v>36</v>
      </c>
      <c r="E19" s="1" t="s">
        <v>35</v>
      </c>
      <c r="G19" s="1" t="str">
        <f t="shared" ref="G19:Y19" si="8">G5</f>
        <v>0</v>
      </c>
      <c r="H19" s="1" t="str">
        <f t="shared" si="8"/>
        <v>0</v>
      </c>
      <c r="I19" s="1" t="str">
        <f t="shared" si="8"/>
        <v>1</v>
      </c>
      <c r="J19" s="1" t="str">
        <f t="shared" si="8"/>
        <v>1</v>
      </c>
      <c r="K19" s="1" t="str">
        <f t="shared" si="8"/>
        <v>.</v>
      </c>
      <c r="L19" s="1" t="str">
        <f t="shared" si="8"/>
        <v>1</v>
      </c>
      <c r="M19" s="1" t="str">
        <f t="shared" si="8"/>
        <v>1</v>
      </c>
      <c r="N19" s="1" t="str">
        <f t="shared" si="8"/>
        <v>1</v>
      </c>
      <c r="O19" s="1" t="str">
        <f t="shared" si="8"/>
        <v>0</v>
      </c>
      <c r="P19" s="1" t="str">
        <f t="shared" si="8"/>
        <v>.</v>
      </c>
      <c r="Q19" s="1" t="str">
        <f t="shared" si="8"/>
        <v>1</v>
      </c>
      <c r="R19" s="1" t="str">
        <f t="shared" si="8"/>
        <v>1</v>
      </c>
      <c r="S19" s="1" t="str">
        <f t="shared" si="8"/>
        <v>0</v>
      </c>
      <c r="T19" s="1" t="str">
        <f t="shared" si="8"/>
        <v>1</v>
      </c>
      <c r="U19" s="1" t="str">
        <f t="shared" si="8"/>
        <v>.</v>
      </c>
      <c r="V19" s="1" t="str">
        <f t="shared" si="8"/>
        <v>1</v>
      </c>
      <c r="W19" s="1" t="str">
        <f t="shared" si="8"/>
        <v>0</v>
      </c>
      <c r="X19" s="1" t="str">
        <f t="shared" si="8"/>
        <v>1</v>
      </c>
      <c r="Y19" s="1" t="str">
        <f t="shared" si="8"/>
        <v>0</v>
      </c>
      <c r="AB19" s="1" t="s">
        <v>36</v>
      </c>
      <c r="AC19" t="s">
        <v>48</v>
      </c>
      <c r="AD19">
        <f>C5</f>
        <v>16090</v>
      </c>
    </row>
    <row r="20" spans="4:32" x14ac:dyDescent="0.3">
      <c r="D20" s="1"/>
      <c r="E20" s="2" t="s">
        <v>42</v>
      </c>
      <c r="F20" t="s">
        <v>42</v>
      </c>
      <c r="G20" s="3" t="s">
        <v>43</v>
      </c>
      <c r="H20" s="3" t="s">
        <v>43</v>
      </c>
      <c r="I20" s="3" t="s">
        <v>43</v>
      </c>
      <c r="J20" s="3" t="s">
        <v>43</v>
      </c>
      <c r="K20" s="3" t="s">
        <v>44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44</v>
      </c>
      <c r="Q20" s="3" t="s">
        <v>43</v>
      </c>
      <c r="R20" s="3" t="s">
        <v>43</v>
      </c>
      <c r="S20" s="3" t="s">
        <v>43</v>
      </c>
      <c r="T20" s="3" t="s">
        <v>43</v>
      </c>
      <c r="U20" s="3" t="s">
        <v>44</v>
      </c>
      <c r="V20" s="3" t="s">
        <v>43</v>
      </c>
      <c r="W20" s="3" t="s">
        <v>43</v>
      </c>
      <c r="X20" s="3" t="s">
        <v>43</v>
      </c>
      <c r="Y20" s="3" t="s">
        <v>43</v>
      </c>
      <c r="AB20" s="1" t="s">
        <v>14</v>
      </c>
      <c r="AC20" s="3" t="s">
        <v>47</v>
      </c>
      <c r="AD20" s="3" t="s">
        <v>47</v>
      </c>
    </row>
    <row r="21" spans="4:32" ht="17.399999999999999" customHeight="1" x14ac:dyDescent="0.3">
      <c r="G21" s="4">
        <f t="shared" ref="G21:Y21" si="9">IF(G19=".",G19,MOD(G19+G18+G17, 2))</f>
        <v>0</v>
      </c>
      <c r="H21" s="4">
        <f t="shared" si="9"/>
        <v>1</v>
      </c>
      <c r="I21" s="4">
        <f t="shared" si="9"/>
        <v>0</v>
      </c>
      <c r="J21" s="4">
        <f t="shared" si="9"/>
        <v>1</v>
      </c>
      <c r="K21" s="4" t="str">
        <f t="shared" si="9"/>
        <v>.</v>
      </c>
      <c r="L21" s="4">
        <f t="shared" si="9"/>
        <v>1</v>
      </c>
      <c r="M21" s="4">
        <f t="shared" si="9"/>
        <v>1</v>
      </c>
      <c r="N21" s="4">
        <f t="shared" si="9"/>
        <v>1</v>
      </c>
      <c r="O21" s="4">
        <f t="shared" si="9"/>
        <v>1</v>
      </c>
      <c r="P21" s="4" t="str">
        <f t="shared" si="9"/>
        <v>.</v>
      </c>
      <c r="Q21" s="4">
        <f t="shared" si="9"/>
        <v>1</v>
      </c>
      <c r="R21" s="4">
        <f t="shared" si="9"/>
        <v>0</v>
      </c>
      <c r="S21" s="4">
        <f t="shared" si="9"/>
        <v>0</v>
      </c>
      <c r="T21" s="4">
        <f t="shared" si="9"/>
        <v>0</v>
      </c>
      <c r="U21" s="4" t="str">
        <f t="shared" si="9"/>
        <v>.</v>
      </c>
      <c r="V21" s="4">
        <f t="shared" si="9"/>
        <v>0</v>
      </c>
      <c r="W21" s="4">
        <f t="shared" si="9"/>
        <v>0</v>
      </c>
      <c r="X21" s="4">
        <f t="shared" si="9"/>
        <v>1</v>
      </c>
      <c r="Y21" s="4">
        <f t="shared" si="9"/>
        <v>1</v>
      </c>
      <c r="Z21" t="s">
        <v>45</v>
      </c>
      <c r="AA21" s="4">
        <f>IF(G21=1,_xlfn.DECIMAL(G21&amp;H21&amp;I21&amp;J21&amp;L21&amp;M21&amp;N21&amp;O21&amp;Q21&amp;R21&amp;S21&amp;T21&amp;V21&amp;W21&amp;X21&amp;Y21,2)-65536,_xlfn.DECIMAL(G21&amp;H21&amp;I21&amp;J21&amp;L21&amp;M21&amp;N21&amp;O21&amp;Q21&amp;R21&amp;S21&amp;T21&amp;V21&amp;W21&amp;X21&amp;Y21,2))</f>
        <v>24451</v>
      </c>
      <c r="AB21" s="5" t="s">
        <v>46</v>
      </c>
      <c r="AD21">
        <f>AD18+AD19</f>
        <v>24451</v>
      </c>
      <c r="AE21" s="5" t="s">
        <v>46</v>
      </c>
    </row>
    <row r="23" spans="4:32" x14ac:dyDescent="0.3">
      <c r="I23" t="s">
        <v>58</v>
      </c>
      <c r="J23">
        <f>IF(G17+G18+G19&gt;1,1,0)</f>
        <v>0</v>
      </c>
      <c r="M23" t="s">
        <v>59</v>
      </c>
      <c r="N23" s="7">
        <f>U17</f>
        <v>1</v>
      </c>
      <c r="Q23" t="s">
        <v>61</v>
      </c>
      <c r="R23" s="7">
        <f>G21</f>
        <v>0</v>
      </c>
      <c r="T23" t="s">
        <v>60</v>
      </c>
      <c r="U23" s="7">
        <f>1-MOD(SUM(Q21:T21)+SUM(V21:Y21),2)</f>
        <v>0</v>
      </c>
      <c r="X23" t="s">
        <v>62</v>
      </c>
      <c r="Y23" s="7">
        <f>IF(AA21=0,1,0)</f>
        <v>0</v>
      </c>
      <c r="AA23" s="1" t="s">
        <v>57</v>
      </c>
      <c r="AB23" s="7">
        <f>MOD(J23+G17,2)</f>
        <v>0</v>
      </c>
    </row>
    <row r="25" spans="4:32" x14ac:dyDescent="0.3">
      <c r="G25" s="8">
        <f t="shared" ref="G25:X25" si="10">IF(H26=".",H25,ROUNDDOWN((H25+H26+H27)/2,0))</f>
        <v>1</v>
      </c>
      <c r="H25" s="8">
        <f t="shared" si="10"/>
        <v>1</v>
      </c>
      <c r="I25" s="8">
        <f t="shared" si="10"/>
        <v>1</v>
      </c>
      <c r="J25" s="8">
        <f t="shared" si="10"/>
        <v>1</v>
      </c>
      <c r="K25" s="8">
        <f t="shared" si="10"/>
        <v>1</v>
      </c>
      <c r="L25" s="8">
        <f t="shared" si="10"/>
        <v>1</v>
      </c>
      <c r="M25" s="8">
        <f t="shared" si="10"/>
        <v>1</v>
      </c>
      <c r="N25" s="8">
        <f t="shared" si="10"/>
        <v>1</v>
      </c>
      <c r="O25" s="8">
        <f t="shared" si="10"/>
        <v>1</v>
      </c>
      <c r="P25" s="8">
        <f t="shared" si="10"/>
        <v>1</v>
      </c>
      <c r="Q25" s="8">
        <f t="shared" si="10"/>
        <v>0</v>
      </c>
      <c r="R25" s="8">
        <f t="shared" si="10"/>
        <v>0</v>
      </c>
      <c r="S25" s="8">
        <f t="shared" si="10"/>
        <v>0</v>
      </c>
      <c r="T25" s="8">
        <f t="shared" si="10"/>
        <v>0</v>
      </c>
      <c r="U25" s="8">
        <f t="shared" si="10"/>
        <v>0</v>
      </c>
      <c r="V25" s="8">
        <f t="shared" si="10"/>
        <v>0</v>
      </c>
      <c r="W25" s="8">
        <f t="shared" si="10"/>
        <v>1</v>
      </c>
      <c r="X25" s="8">
        <f t="shared" si="10"/>
        <v>0</v>
      </c>
    </row>
    <row r="26" spans="4:32" x14ac:dyDescent="0.3">
      <c r="E26" s="1" t="s">
        <v>35</v>
      </c>
      <c r="G26" s="1" t="str">
        <f t="shared" ref="G26:Y26" si="11">G5</f>
        <v>0</v>
      </c>
      <c r="H26" s="1" t="str">
        <f t="shared" si="11"/>
        <v>0</v>
      </c>
      <c r="I26" s="1" t="str">
        <f t="shared" si="11"/>
        <v>1</v>
      </c>
      <c r="J26" s="1" t="str">
        <f t="shared" si="11"/>
        <v>1</v>
      </c>
      <c r="K26" s="1" t="str">
        <f t="shared" si="11"/>
        <v>.</v>
      </c>
      <c r="L26" s="1" t="str">
        <f t="shared" si="11"/>
        <v>1</v>
      </c>
      <c r="M26" s="1" t="str">
        <f t="shared" si="11"/>
        <v>1</v>
      </c>
      <c r="N26" s="1" t="str">
        <f t="shared" si="11"/>
        <v>1</v>
      </c>
      <c r="O26" s="1" t="str">
        <f t="shared" si="11"/>
        <v>0</v>
      </c>
      <c r="P26" s="1" t="str">
        <f t="shared" si="11"/>
        <v>.</v>
      </c>
      <c r="Q26" s="1" t="str">
        <f t="shared" si="11"/>
        <v>1</v>
      </c>
      <c r="R26" s="1" t="str">
        <f t="shared" si="11"/>
        <v>1</v>
      </c>
      <c r="S26" s="1" t="str">
        <f t="shared" si="11"/>
        <v>0</v>
      </c>
      <c r="T26" s="1" t="str">
        <f t="shared" si="11"/>
        <v>1</v>
      </c>
      <c r="U26" s="1" t="str">
        <f t="shared" si="11"/>
        <v>.</v>
      </c>
      <c r="V26" s="1" t="str">
        <f t="shared" si="11"/>
        <v>1</v>
      </c>
      <c r="W26" s="1" t="str">
        <f t="shared" si="11"/>
        <v>0</v>
      </c>
      <c r="X26" s="1" t="str">
        <f t="shared" si="11"/>
        <v>1</v>
      </c>
      <c r="Y26" s="1" t="str">
        <f t="shared" si="11"/>
        <v>0</v>
      </c>
      <c r="AC26" t="s">
        <v>48</v>
      </c>
      <c r="AD26">
        <f>C5</f>
        <v>16090</v>
      </c>
      <c r="AF26" t="str">
        <f>VLOOKUP(IF(AB31=0,AB31&amp;J31,AB31&amp;"-"&amp;G26),AF$3:AG$6,2,0)</f>
        <v>При сложении положительных чисел был получен отрицательный результат, он не корректный из за переполнения.</v>
      </c>
    </row>
    <row r="27" spans="4:32" x14ac:dyDescent="0.3">
      <c r="D27" t="s">
        <v>36</v>
      </c>
      <c r="E27" s="1" t="s">
        <v>37</v>
      </c>
      <c r="G27" s="1" t="str">
        <f t="shared" ref="G27:Y27" si="12">G6</f>
        <v>0</v>
      </c>
      <c r="H27" s="1" t="str">
        <f t="shared" si="12"/>
        <v>1</v>
      </c>
      <c r="I27" s="1" t="str">
        <f t="shared" si="12"/>
        <v>0</v>
      </c>
      <c r="J27" s="1" t="str">
        <f t="shared" si="12"/>
        <v>1</v>
      </c>
      <c r="K27" s="1" t="str">
        <f t="shared" si="12"/>
        <v>.</v>
      </c>
      <c r="L27" s="1" t="str">
        <f t="shared" si="12"/>
        <v>1</v>
      </c>
      <c r="M27" s="1" t="str">
        <f t="shared" si="12"/>
        <v>1</v>
      </c>
      <c r="N27" s="1" t="str">
        <f t="shared" si="12"/>
        <v>1</v>
      </c>
      <c r="O27" s="1" t="str">
        <f t="shared" si="12"/>
        <v>1</v>
      </c>
      <c r="P27" s="1" t="str">
        <f t="shared" si="12"/>
        <v>.</v>
      </c>
      <c r="Q27" s="1" t="str">
        <f t="shared" si="12"/>
        <v>1</v>
      </c>
      <c r="R27" s="1" t="str">
        <f t="shared" si="12"/>
        <v>0</v>
      </c>
      <c r="S27" s="1" t="str">
        <f t="shared" si="12"/>
        <v>0</v>
      </c>
      <c r="T27" s="1" t="str">
        <f t="shared" si="12"/>
        <v>0</v>
      </c>
      <c r="U27" s="1" t="str">
        <f t="shared" si="12"/>
        <v>.</v>
      </c>
      <c r="V27" s="1" t="str">
        <f t="shared" si="12"/>
        <v>0</v>
      </c>
      <c r="W27" s="1" t="str">
        <f t="shared" si="12"/>
        <v>0</v>
      </c>
      <c r="X27" s="1" t="str">
        <f t="shared" si="12"/>
        <v>1</v>
      </c>
      <c r="Y27" s="1" t="str">
        <f t="shared" si="12"/>
        <v>1</v>
      </c>
      <c r="AB27" s="1" t="s">
        <v>36</v>
      </c>
      <c r="AC27" t="s">
        <v>63</v>
      </c>
      <c r="AD27">
        <f>C6</f>
        <v>24451</v>
      </c>
    </row>
    <row r="28" spans="4:32" x14ac:dyDescent="0.3">
      <c r="E28" s="2" t="s">
        <v>42</v>
      </c>
      <c r="F28" t="s">
        <v>42</v>
      </c>
      <c r="G28" s="3" t="s">
        <v>43</v>
      </c>
      <c r="H28" s="3" t="s">
        <v>43</v>
      </c>
      <c r="I28" s="3" t="s">
        <v>43</v>
      </c>
      <c r="J28" s="3" t="s">
        <v>43</v>
      </c>
      <c r="K28" s="3" t="s">
        <v>44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44</v>
      </c>
      <c r="Q28" s="3" t="s">
        <v>43</v>
      </c>
      <c r="R28" s="3" t="s">
        <v>43</v>
      </c>
      <c r="S28" s="3" t="s">
        <v>43</v>
      </c>
      <c r="T28" s="3" t="s">
        <v>43</v>
      </c>
      <c r="U28" s="3" t="s">
        <v>44</v>
      </c>
      <c r="V28" s="3" t="s">
        <v>43</v>
      </c>
      <c r="W28" s="3" t="s">
        <v>43</v>
      </c>
      <c r="X28" s="3" t="s">
        <v>43</v>
      </c>
      <c r="Y28" s="3" t="s">
        <v>43</v>
      </c>
      <c r="AB28" s="1" t="s">
        <v>14</v>
      </c>
      <c r="AC28" s="3" t="s">
        <v>47</v>
      </c>
      <c r="AD28" s="3" t="s">
        <v>47</v>
      </c>
    </row>
    <row r="29" spans="4:32" x14ac:dyDescent="0.3">
      <c r="G29" s="4">
        <f t="shared" ref="G29:Y29" si="13">IF(G27=".",G27,MOD(G27+G26+G25, 2))</f>
        <v>1</v>
      </c>
      <c r="H29" s="4">
        <f t="shared" si="13"/>
        <v>0</v>
      </c>
      <c r="I29" s="4">
        <f t="shared" si="13"/>
        <v>0</v>
      </c>
      <c r="J29" s="4">
        <f t="shared" si="13"/>
        <v>1</v>
      </c>
      <c r="K29" s="4" t="str">
        <f t="shared" si="13"/>
        <v>.</v>
      </c>
      <c r="L29" s="4">
        <f t="shared" si="13"/>
        <v>1</v>
      </c>
      <c r="M29" s="4">
        <f t="shared" si="13"/>
        <v>1</v>
      </c>
      <c r="N29" s="4">
        <f t="shared" si="13"/>
        <v>1</v>
      </c>
      <c r="O29" s="4">
        <f t="shared" si="13"/>
        <v>0</v>
      </c>
      <c r="P29" s="4" t="str">
        <f t="shared" si="13"/>
        <v>.</v>
      </c>
      <c r="Q29" s="4">
        <f t="shared" si="13"/>
        <v>0</v>
      </c>
      <c r="R29" s="4">
        <f t="shared" si="13"/>
        <v>1</v>
      </c>
      <c r="S29" s="4">
        <f t="shared" si="13"/>
        <v>0</v>
      </c>
      <c r="T29" s="4">
        <f t="shared" si="13"/>
        <v>1</v>
      </c>
      <c r="U29" s="4" t="str">
        <f t="shared" si="13"/>
        <v>.</v>
      </c>
      <c r="V29" s="4">
        <f t="shared" si="13"/>
        <v>1</v>
      </c>
      <c r="W29" s="4">
        <f t="shared" si="13"/>
        <v>1</v>
      </c>
      <c r="X29" s="4">
        <f t="shared" si="13"/>
        <v>0</v>
      </c>
      <c r="Y29" s="4">
        <f t="shared" si="13"/>
        <v>1</v>
      </c>
      <c r="Z29" t="s">
        <v>45</v>
      </c>
      <c r="AA29" s="4">
        <f>IF(G29=1,_xlfn.DECIMAL(G29&amp;H29&amp;I29&amp;J29&amp;L29&amp;M29&amp;N29&amp;O29&amp;Q29&amp;R29&amp;S29&amp;T29&amp;V29&amp;W29&amp;X29&amp;Y29,2)-65536,_xlfn.DECIMAL(G29&amp;H29&amp;I29&amp;J29&amp;L29&amp;M29&amp;N29&amp;O29&amp;Q29&amp;R29&amp;S29&amp;T29&amp;V29&amp;W29&amp;X29&amp;Y29,2))</f>
        <v>-24995</v>
      </c>
      <c r="AB29" s="5" t="s">
        <v>46</v>
      </c>
      <c r="AD29">
        <f>AD26+AD27</f>
        <v>40541</v>
      </c>
      <c r="AE29" s="5" t="s">
        <v>46</v>
      </c>
    </row>
    <row r="31" spans="4:32" x14ac:dyDescent="0.3">
      <c r="I31" t="s">
        <v>58</v>
      </c>
      <c r="J31">
        <f>IF(G25+G26+G27&gt;1,1,0)</f>
        <v>0</v>
      </c>
      <c r="M31" t="s">
        <v>59</v>
      </c>
      <c r="N31" s="7">
        <f>U25</f>
        <v>0</v>
      </c>
      <c r="Q31" t="s">
        <v>61</v>
      </c>
      <c r="R31" s="7">
        <f>G29</f>
        <v>1</v>
      </c>
      <c r="T31" t="s">
        <v>60</v>
      </c>
      <c r="U31" s="7">
        <f>1-MOD(SUM(Q29:T29)+SUM(V29:Y29),2)</f>
        <v>0</v>
      </c>
      <c r="X31" t="s">
        <v>62</v>
      </c>
      <c r="Y31" s="7">
        <f>IF(AA29=0,1,0)</f>
        <v>0</v>
      </c>
      <c r="AA31" s="1" t="s">
        <v>57</v>
      </c>
      <c r="AB31" s="7">
        <f>MOD(J31+G25,2)</f>
        <v>1</v>
      </c>
    </row>
    <row r="33" spans="4:32" x14ac:dyDescent="0.3">
      <c r="G33" s="8">
        <f t="shared" ref="G33:X33" si="14">IF(H34=".",H33,ROUNDDOWN((H33+H34+H35)/2,0))</f>
        <v>1</v>
      </c>
      <c r="H33" s="8">
        <f t="shared" si="14"/>
        <v>1</v>
      </c>
      <c r="I33" s="8">
        <f t="shared" si="14"/>
        <v>1</v>
      </c>
      <c r="J33" s="8">
        <f t="shared" si="14"/>
        <v>1</v>
      </c>
      <c r="K33" s="8">
        <f t="shared" si="14"/>
        <v>1</v>
      </c>
      <c r="L33" s="8">
        <f t="shared" si="14"/>
        <v>1</v>
      </c>
      <c r="M33" s="8">
        <f t="shared" si="14"/>
        <v>1</v>
      </c>
      <c r="N33" s="8">
        <f t="shared" si="14"/>
        <v>1</v>
      </c>
      <c r="O33" s="8">
        <f t="shared" si="14"/>
        <v>1</v>
      </c>
      <c r="P33" s="8">
        <f t="shared" si="14"/>
        <v>1</v>
      </c>
      <c r="Q33" s="8">
        <f t="shared" si="14"/>
        <v>1</v>
      </c>
      <c r="R33" s="8">
        <f t="shared" si="14"/>
        <v>0</v>
      </c>
      <c r="S33" s="8">
        <f t="shared" si="14"/>
        <v>1</v>
      </c>
      <c r="T33" s="8">
        <f t="shared" si="14"/>
        <v>1</v>
      </c>
      <c r="U33" s="8">
        <f t="shared" si="14"/>
        <v>1</v>
      </c>
      <c r="V33" s="8">
        <f t="shared" si="14"/>
        <v>1</v>
      </c>
      <c r="W33" s="8">
        <f t="shared" si="14"/>
        <v>1</v>
      </c>
      <c r="X33" s="8">
        <f t="shared" si="14"/>
        <v>0</v>
      </c>
    </row>
    <row r="34" spans="4:32" x14ac:dyDescent="0.3">
      <c r="E34" s="1" t="s">
        <v>35</v>
      </c>
      <c r="G34" s="1" t="str">
        <f t="shared" ref="G34:Y34" si="15">G5</f>
        <v>0</v>
      </c>
      <c r="H34" s="1" t="str">
        <f t="shared" si="15"/>
        <v>0</v>
      </c>
      <c r="I34" s="1" t="str">
        <f t="shared" si="15"/>
        <v>1</v>
      </c>
      <c r="J34" s="1" t="str">
        <f t="shared" si="15"/>
        <v>1</v>
      </c>
      <c r="K34" s="1" t="str">
        <f t="shared" si="15"/>
        <v>.</v>
      </c>
      <c r="L34" s="1" t="str">
        <f t="shared" si="15"/>
        <v>1</v>
      </c>
      <c r="M34" s="1" t="str">
        <f t="shared" si="15"/>
        <v>1</v>
      </c>
      <c r="N34" s="1" t="str">
        <f t="shared" si="15"/>
        <v>1</v>
      </c>
      <c r="O34" s="1" t="str">
        <f t="shared" si="15"/>
        <v>0</v>
      </c>
      <c r="P34" s="1" t="str">
        <f t="shared" si="15"/>
        <v>.</v>
      </c>
      <c r="Q34" s="1" t="str">
        <f t="shared" si="15"/>
        <v>1</v>
      </c>
      <c r="R34" s="1" t="str">
        <f t="shared" si="15"/>
        <v>1</v>
      </c>
      <c r="S34" s="1" t="str">
        <f t="shared" si="15"/>
        <v>0</v>
      </c>
      <c r="T34" s="1" t="str">
        <f t="shared" si="15"/>
        <v>1</v>
      </c>
      <c r="U34" s="1" t="str">
        <f t="shared" si="15"/>
        <v>.</v>
      </c>
      <c r="V34" s="1" t="str">
        <f t="shared" si="15"/>
        <v>1</v>
      </c>
      <c r="W34" s="1" t="str">
        <f t="shared" si="15"/>
        <v>0</v>
      </c>
      <c r="X34" s="1" t="str">
        <f t="shared" si="15"/>
        <v>1</v>
      </c>
      <c r="Y34" s="1" t="str">
        <f t="shared" si="15"/>
        <v>0</v>
      </c>
      <c r="AC34" t="s">
        <v>48</v>
      </c>
      <c r="AD34">
        <f>C5</f>
        <v>16090</v>
      </c>
      <c r="AF34" t="str">
        <f>VLOOKUP(IF(AB39=0,AB39&amp;J39,AB39&amp;"-"&amp;G34),AF$3:AG$6,2,0)</f>
        <v>Результат выполнения операции с отрицательным числом(числами) верный и корректный, совпадает с суммой десятичных эквивалентов.</v>
      </c>
    </row>
    <row r="35" spans="4:32" x14ac:dyDescent="0.3">
      <c r="D35" t="s">
        <v>36</v>
      </c>
      <c r="E35" s="1" t="s">
        <v>38</v>
      </c>
      <c r="G35" s="1" t="str">
        <f t="shared" ref="G35:Y35" si="16">G10</f>
        <v>1</v>
      </c>
      <c r="H35" s="1" t="str">
        <f t="shared" si="16"/>
        <v>1</v>
      </c>
      <c r="I35" s="1" t="str">
        <f t="shared" si="16"/>
        <v>0</v>
      </c>
      <c r="J35" s="1" t="str">
        <f t="shared" si="16"/>
        <v>1</v>
      </c>
      <c r="K35" s="1" t="str">
        <f t="shared" si="16"/>
        <v>.</v>
      </c>
      <c r="L35" s="1" t="str">
        <f t="shared" si="16"/>
        <v>1</v>
      </c>
      <c r="M35" s="1" t="str">
        <f t="shared" si="16"/>
        <v>1</v>
      </c>
      <c r="N35" s="1" t="str">
        <f t="shared" si="16"/>
        <v>1</v>
      </c>
      <c r="O35" s="1" t="str">
        <f t="shared" si="16"/>
        <v>1</v>
      </c>
      <c r="P35" s="1" t="str">
        <f t="shared" si="16"/>
        <v>.</v>
      </c>
      <c r="Q35" s="1" t="str">
        <f t="shared" si="16"/>
        <v>0</v>
      </c>
      <c r="R35" s="1" t="str">
        <f t="shared" si="16"/>
        <v>1</v>
      </c>
      <c r="S35" s="1" t="str">
        <f t="shared" si="16"/>
        <v>0</v>
      </c>
      <c r="T35" s="1" t="str">
        <f t="shared" si="16"/>
        <v>1</v>
      </c>
      <c r="U35" s="1" t="str">
        <f t="shared" si="16"/>
        <v>.</v>
      </c>
      <c r="V35" s="1" t="str">
        <f t="shared" si="16"/>
        <v>0</v>
      </c>
      <c r="W35" s="1" t="str">
        <f t="shared" si="16"/>
        <v>1</v>
      </c>
      <c r="X35" s="1" t="str">
        <f t="shared" si="16"/>
        <v>1</v>
      </c>
      <c r="Y35" s="1" t="str">
        <f t="shared" si="16"/>
        <v>1</v>
      </c>
      <c r="AB35" s="1" t="s">
        <v>36</v>
      </c>
      <c r="AC35" t="s">
        <v>64</v>
      </c>
      <c r="AD35">
        <f>C10</f>
        <v>-8361</v>
      </c>
    </row>
    <row r="36" spans="4:32" x14ac:dyDescent="0.3">
      <c r="E36" s="2" t="s">
        <v>42</v>
      </c>
      <c r="F36" t="s">
        <v>42</v>
      </c>
      <c r="G36" s="3" t="s">
        <v>43</v>
      </c>
      <c r="H36" s="3" t="s">
        <v>43</v>
      </c>
      <c r="I36" s="3" t="s">
        <v>43</v>
      </c>
      <c r="J36" s="3" t="s">
        <v>43</v>
      </c>
      <c r="K36" s="3" t="s">
        <v>44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44</v>
      </c>
      <c r="Q36" s="3" t="s">
        <v>43</v>
      </c>
      <c r="R36" s="3" t="s">
        <v>43</v>
      </c>
      <c r="S36" s="3" t="s">
        <v>43</v>
      </c>
      <c r="T36" s="3" t="s">
        <v>43</v>
      </c>
      <c r="U36" s="3" t="s">
        <v>44</v>
      </c>
      <c r="V36" s="3" t="s">
        <v>43</v>
      </c>
      <c r="W36" s="3" t="s">
        <v>43</v>
      </c>
      <c r="X36" s="3" t="s">
        <v>43</v>
      </c>
      <c r="Y36" s="3" t="s">
        <v>43</v>
      </c>
      <c r="AB36" s="1" t="s">
        <v>14</v>
      </c>
      <c r="AC36" s="3" t="s">
        <v>47</v>
      </c>
      <c r="AD36" s="3" t="s">
        <v>47</v>
      </c>
    </row>
    <row r="37" spans="4:32" x14ac:dyDescent="0.3">
      <c r="G37" s="4">
        <f t="shared" ref="G37:Y37" si="17">IF(G35=".",G35,MOD(G35+G34+G33, 2))</f>
        <v>0</v>
      </c>
      <c r="H37" s="4">
        <f t="shared" si="17"/>
        <v>0</v>
      </c>
      <c r="I37" s="4">
        <f t="shared" si="17"/>
        <v>0</v>
      </c>
      <c r="J37" s="4">
        <f t="shared" si="17"/>
        <v>1</v>
      </c>
      <c r="K37" s="4" t="str">
        <f t="shared" si="17"/>
        <v>.</v>
      </c>
      <c r="L37" s="4">
        <f t="shared" si="17"/>
        <v>1</v>
      </c>
      <c r="M37" s="4">
        <f t="shared" si="17"/>
        <v>1</v>
      </c>
      <c r="N37" s="4">
        <f t="shared" si="17"/>
        <v>1</v>
      </c>
      <c r="O37" s="4">
        <f t="shared" si="17"/>
        <v>0</v>
      </c>
      <c r="P37" s="4" t="str">
        <f t="shared" si="17"/>
        <v>.</v>
      </c>
      <c r="Q37" s="4">
        <f t="shared" si="17"/>
        <v>0</v>
      </c>
      <c r="R37" s="4">
        <f t="shared" si="17"/>
        <v>0</v>
      </c>
      <c r="S37" s="4">
        <f t="shared" si="17"/>
        <v>1</v>
      </c>
      <c r="T37" s="4">
        <f t="shared" si="17"/>
        <v>1</v>
      </c>
      <c r="U37" s="4" t="str">
        <f t="shared" si="17"/>
        <v>.</v>
      </c>
      <c r="V37" s="4">
        <f t="shared" si="17"/>
        <v>0</v>
      </c>
      <c r="W37" s="4">
        <f t="shared" si="17"/>
        <v>0</v>
      </c>
      <c r="X37" s="4">
        <f t="shared" si="17"/>
        <v>0</v>
      </c>
      <c r="Y37" s="4">
        <f t="shared" si="17"/>
        <v>1</v>
      </c>
      <c r="Z37" t="s">
        <v>45</v>
      </c>
      <c r="AA37" s="4">
        <f>IF(G37=1,_xlfn.DECIMAL(G37&amp;H37&amp;I37&amp;J37&amp;L37&amp;M37&amp;N37&amp;O37&amp;Q37&amp;R37&amp;S37&amp;T37&amp;V37&amp;W37&amp;X37&amp;Y37,2)-65536,_xlfn.DECIMAL(G37&amp;H37&amp;I37&amp;J37&amp;L37&amp;M37&amp;N37&amp;O37&amp;Q37&amp;R37&amp;S37&amp;T37&amp;V37&amp;W37&amp;X37&amp;Y37,2))</f>
        <v>7729</v>
      </c>
      <c r="AB37" s="5" t="s">
        <v>46</v>
      </c>
      <c r="AD37">
        <f>AD34+AD35</f>
        <v>7729</v>
      </c>
      <c r="AE37" s="5" t="s">
        <v>46</v>
      </c>
    </row>
    <row r="39" spans="4:32" x14ac:dyDescent="0.3">
      <c r="I39" t="s">
        <v>58</v>
      </c>
      <c r="J39">
        <f>IF(G33+G34+G35&gt;1,1,0)</f>
        <v>1</v>
      </c>
      <c r="M39" t="s">
        <v>59</v>
      </c>
      <c r="N39" s="7">
        <f>U33</f>
        <v>1</v>
      </c>
      <c r="Q39" t="s">
        <v>61</v>
      </c>
      <c r="R39" s="7">
        <f>G37</f>
        <v>0</v>
      </c>
      <c r="T39" t="s">
        <v>60</v>
      </c>
      <c r="U39" s="7">
        <f>1-MOD(SUM(Q37:T37)+SUM(V37:Y37),2)</f>
        <v>0</v>
      </c>
      <c r="X39" t="s">
        <v>62</v>
      </c>
      <c r="Y39" s="7">
        <f>IF(AA37=0,1,0)</f>
        <v>0</v>
      </c>
      <c r="AA39" s="1" t="s">
        <v>57</v>
      </c>
      <c r="AB39" s="7">
        <f>MOD(J39+G33,2)</f>
        <v>0</v>
      </c>
    </row>
    <row r="41" spans="4:32" x14ac:dyDescent="0.3">
      <c r="G41" s="8">
        <f t="shared" ref="G41:X41" si="18">IF(H42=".",H41,ROUNDDOWN((H41+H42+H43)/2,0))</f>
        <v>1</v>
      </c>
      <c r="H41" s="8">
        <f t="shared" si="18"/>
        <v>0</v>
      </c>
      <c r="I41" s="8">
        <f t="shared" si="18"/>
        <v>1</v>
      </c>
      <c r="J41" s="8">
        <f t="shared" si="18"/>
        <v>1</v>
      </c>
      <c r="K41" s="8">
        <f t="shared" si="18"/>
        <v>1</v>
      </c>
      <c r="L41" s="8">
        <f t="shared" si="18"/>
        <v>1</v>
      </c>
      <c r="M41" s="8">
        <f t="shared" si="18"/>
        <v>1</v>
      </c>
      <c r="N41" s="8">
        <f t="shared" si="18"/>
        <v>1</v>
      </c>
      <c r="O41" s="8">
        <f t="shared" si="18"/>
        <v>0</v>
      </c>
      <c r="P41" s="8">
        <f t="shared" si="18"/>
        <v>0</v>
      </c>
      <c r="Q41" s="8">
        <f t="shared" si="18"/>
        <v>0</v>
      </c>
      <c r="R41" s="8">
        <f t="shared" si="18"/>
        <v>0</v>
      </c>
      <c r="S41" s="8">
        <f t="shared" si="18"/>
        <v>0</v>
      </c>
      <c r="T41" s="8">
        <f t="shared" si="18"/>
        <v>0</v>
      </c>
      <c r="U41" s="8">
        <f t="shared" si="18"/>
        <v>0</v>
      </c>
      <c r="V41" s="8">
        <f t="shared" si="18"/>
        <v>1</v>
      </c>
      <c r="W41" s="8">
        <f t="shared" si="18"/>
        <v>1</v>
      </c>
      <c r="X41" s="8">
        <f t="shared" si="18"/>
        <v>0</v>
      </c>
    </row>
    <row r="42" spans="4:32" x14ac:dyDescent="0.3">
      <c r="E42" s="1" t="s">
        <v>38</v>
      </c>
      <c r="G42" s="1" t="str">
        <f t="shared" ref="G42:Y42" si="19">G10</f>
        <v>1</v>
      </c>
      <c r="H42" s="1" t="str">
        <f t="shared" si="19"/>
        <v>1</v>
      </c>
      <c r="I42" s="1" t="str">
        <f t="shared" si="19"/>
        <v>0</v>
      </c>
      <c r="J42" s="1" t="str">
        <f t="shared" si="19"/>
        <v>1</v>
      </c>
      <c r="K42" s="1" t="str">
        <f t="shared" si="19"/>
        <v>.</v>
      </c>
      <c r="L42" s="1" t="str">
        <f t="shared" si="19"/>
        <v>1</v>
      </c>
      <c r="M42" s="1" t="str">
        <f t="shared" si="19"/>
        <v>1</v>
      </c>
      <c r="N42" s="1" t="str">
        <f t="shared" si="19"/>
        <v>1</v>
      </c>
      <c r="O42" s="1" t="str">
        <f t="shared" si="19"/>
        <v>1</v>
      </c>
      <c r="P42" s="1" t="str">
        <f t="shared" si="19"/>
        <v>.</v>
      </c>
      <c r="Q42" s="1" t="str">
        <f t="shared" si="19"/>
        <v>0</v>
      </c>
      <c r="R42" s="1" t="str">
        <f t="shared" si="19"/>
        <v>1</v>
      </c>
      <c r="S42" s="1" t="str">
        <f t="shared" si="19"/>
        <v>0</v>
      </c>
      <c r="T42" s="1" t="str">
        <f t="shared" si="19"/>
        <v>1</v>
      </c>
      <c r="U42" s="1" t="str">
        <f t="shared" si="19"/>
        <v>.</v>
      </c>
      <c r="V42" s="1" t="str">
        <f t="shared" si="19"/>
        <v>0</v>
      </c>
      <c r="W42" s="1" t="str">
        <f t="shared" si="19"/>
        <v>1</v>
      </c>
      <c r="X42" s="1" t="str">
        <f t="shared" si="19"/>
        <v>1</v>
      </c>
      <c r="Y42" s="1" t="str">
        <f t="shared" si="19"/>
        <v>1</v>
      </c>
      <c r="AC42" t="s">
        <v>64</v>
      </c>
      <c r="AD42">
        <f>C10</f>
        <v>-8361</v>
      </c>
      <c r="AF42" t="str">
        <f>VLOOKUP(IF(AB47=0,AB47&amp;J47,AB47&amp;"-"&amp;G42),AF$3:AG$6,2,0)</f>
        <v>Результат выполнения операции с отрицательным числом(числами) верный и корректный, совпадает с суммой десятичных эквивалентов.</v>
      </c>
    </row>
    <row r="43" spans="4:32" x14ac:dyDescent="0.3">
      <c r="D43" t="s">
        <v>36</v>
      </c>
      <c r="E43" s="1" t="s">
        <v>39</v>
      </c>
      <c r="G43" s="1" t="str">
        <f t="shared" ref="G43:Y43" si="20">G11</f>
        <v>1</v>
      </c>
      <c r="H43" s="1" t="str">
        <f t="shared" si="20"/>
        <v>1</v>
      </c>
      <c r="I43" s="1" t="str">
        <f t="shared" si="20"/>
        <v>0</v>
      </c>
      <c r="J43" s="1" t="str">
        <f t="shared" si="20"/>
        <v>0</v>
      </c>
      <c r="K43" s="1" t="str">
        <f t="shared" si="20"/>
        <v>.</v>
      </c>
      <c r="L43" s="1" t="str">
        <f t="shared" si="20"/>
        <v>0</v>
      </c>
      <c r="M43" s="1" t="str">
        <f t="shared" si="20"/>
        <v>0</v>
      </c>
      <c r="N43" s="1" t="str">
        <f t="shared" si="20"/>
        <v>0</v>
      </c>
      <c r="O43" s="1" t="str">
        <f t="shared" si="20"/>
        <v>1</v>
      </c>
      <c r="P43" s="1" t="str">
        <f t="shared" si="20"/>
        <v>.</v>
      </c>
      <c r="Q43" s="1" t="str">
        <f t="shared" si="20"/>
        <v>0</v>
      </c>
      <c r="R43" s="1" t="str">
        <f t="shared" si="20"/>
        <v>0</v>
      </c>
      <c r="S43" s="1" t="str">
        <f t="shared" si="20"/>
        <v>1</v>
      </c>
      <c r="T43" s="1" t="str">
        <f t="shared" si="20"/>
        <v>0</v>
      </c>
      <c r="U43" s="1" t="str">
        <f t="shared" si="20"/>
        <v>.</v>
      </c>
      <c r="V43" s="1" t="str">
        <f t="shared" si="20"/>
        <v>0</v>
      </c>
      <c r="W43" s="1" t="str">
        <f t="shared" si="20"/>
        <v>1</v>
      </c>
      <c r="X43" s="1" t="str">
        <f t="shared" si="20"/>
        <v>1</v>
      </c>
      <c r="Y43" s="1" t="str">
        <f t="shared" si="20"/>
        <v>0</v>
      </c>
      <c r="AB43" s="1" t="s">
        <v>36</v>
      </c>
      <c r="AC43" t="s">
        <v>65</v>
      </c>
      <c r="AD43">
        <f>C11</f>
        <v>-16090</v>
      </c>
    </row>
    <row r="44" spans="4:32" x14ac:dyDescent="0.3">
      <c r="E44" s="2" t="s">
        <v>42</v>
      </c>
      <c r="F44" t="s">
        <v>42</v>
      </c>
      <c r="G44" s="3" t="s">
        <v>43</v>
      </c>
      <c r="H44" s="3" t="s">
        <v>43</v>
      </c>
      <c r="I44" s="3" t="s">
        <v>43</v>
      </c>
      <c r="J44" s="3" t="s">
        <v>43</v>
      </c>
      <c r="K44" s="3" t="s">
        <v>44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44</v>
      </c>
      <c r="Q44" s="3" t="s">
        <v>43</v>
      </c>
      <c r="R44" s="3" t="s">
        <v>43</v>
      </c>
      <c r="S44" s="3" t="s">
        <v>43</v>
      </c>
      <c r="T44" s="3" t="s">
        <v>43</v>
      </c>
      <c r="U44" s="3" t="s">
        <v>44</v>
      </c>
      <c r="V44" s="3" t="s">
        <v>43</v>
      </c>
      <c r="W44" s="3" t="s">
        <v>43</v>
      </c>
      <c r="X44" s="3" t="s">
        <v>43</v>
      </c>
      <c r="Y44" s="3" t="s">
        <v>43</v>
      </c>
      <c r="AB44" s="1" t="s">
        <v>14</v>
      </c>
      <c r="AC44" s="3" t="s">
        <v>47</v>
      </c>
      <c r="AD44" s="3" t="s">
        <v>47</v>
      </c>
    </row>
    <row r="45" spans="4:32" x14ac:dyDescent="0.3">
      <c r="G45" s="4">
        <f t="shared" ref="G45:Y45" si="21">IF(G43=".",G43,MOD(G43+G42+G41, 2))</f>
        <v>1</v>
      </c>
      <c r="H45" s="4">
        <f t="shared" si="21"/>
        <v>0</v>
      </c>
      <c r="I45" s="4">
        <f t="shared" si="21"/>
        <v>1</v>
      </c>
      <c r="J45" s="4">
        <f t="shared" si="21"/>
        <v>0</v>
      </c>
      <c r="K45" s="4" t="str">
        <f t="shared" si="21"/>
        <v>.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 t="str">
        <f t="shared" si="21"/>
        <v>.</v>
      </c>
      <c r="Q45" s="4">
        <f t="shared" si="21"/>
        <v>0</v>
      </c>
      <c r="R45" s="4">
        <f t="shared" si="21"/>
        <v>1</v>
      </c>
      <c r="S45" s="4">
        <f t="shared" si="21"/>
        <v>1</v>
      </c>
      <c r="T45" s="4">
        <f t="shared" si="21"/>
        <v>1</v>
      </c>
      <c r="U45" s="4" t="str">
        <f t="shared" si="21"/>
        <v>.</v>
      </c>
      <c r="V45" s="4">
        <f t="shared" si="21"/>
        <v>1</v>
      </c>
      <c r="W45" s="4">
        <f t="shared" si="21"/>
        <v>1</v>
      </c>
      <c r="X45" s="4">
        <f t="shared" si="21"/>
        <v>0</v>
      </c>
      <c r="Y45" s="4">
        <f t="shared" si="21"/>
        <v>1</v>
      </c>
      <c r="Z45" t="s">
        <v>45</v>
      </c>
      <c r="AA45" s="4">
        <f>IF(G45=1,_xlfn.DECIMAL(G45&amp;H45&amp;I45&amp;J45&amp;L45&amp;M45&amp;N45&amp;O45&amp;Q45&amp;R45&amp;S45&amp;T45&amp;V45&amp;W45&amp;X45&amp;Y45,2)-65536,_xlfn.DECIMAL(G45&amp;H45&amp;I45&amp;J45&amp;L45&amp;M45&amp;N45&amp;O45&amp;Q45&amp;R45&amp;S45&amp;T45&amp;V45&amp;W45&amp;X45&amp;Y45,2))</f>
        <v>-24451</v>
      </c>
      <c r="AB45" s="5" t="s">
        <v>46</v>
      </c>
      <c r="AD45">
        <f>AD42+AD43</f>
        <v>-24451</v>
      </c>
      <c r="AE45" s="5" t="s">
        <v>46</v>
      </c>
    </row>
    <row r="47" spans="4:32" x14ac:dyDescent="0.3">
      <c r="I47" t="s">
        <v>58</v>
      </c>
      <c r="J47">
        <f>IF(G41+G42+G43&gt;1,1,0)</f>
        <v>1</v>
      </c>
      <c r="M47" t="s">
        <v>59</v>
      </c>
      <c r="N47" s="7">
        <f>U41</f>
        <v>0</v>
      </c>
      <c r="Q47" t="s">
        <v>61</v>
      </c>
      <c r="R47" s="7">
        <f>G45</f>
        <v>1</v>
      </c>
      <c r="T47" t="s">
        <v>60</v>
      </c>
      <c r="U47" s="7">
        <f>1-MOD(SUM(Q45:T45)+SUM(V45:Y45),2)</f>
        <v>1</v>
      </c>
      <c r="X47" t="s">
        <v>62</v>
      </c>
      <c r="Y47" s="7">
        <f>IF(AA45=0,1,0)</f>
        <v>0</v>
      </c>
      <c r="AA47" s="1" t="s">
        <v>57</v>
      </c>
      <c r="AB47" s="7">
        <f>MOD(J47+G41,2)</f>
        <v>0</v>
      </c>
    </row>
    <row r="49" spans="4:32" x14ac:dyDescent="0.3">
      <c r="G49" s="8">
        <f t="shared" ref="G49:X49" si="22">IF(H50=".",H49,ROUNDDOWN((H49+H50+H51)/2,0))</f>
        <v>0</v>
      </c>
      <c r="H49" s="8">
        <f t="shared" si="22"/>
        <v>0</v>
      </c>
      <c r="I49" s="8">
        <f t="shared" si="22"/>
        <v>0</v>
      </c>
      <c r="J49" s="8">
        <f t="shared" si="22"/>
        <v>0</v>
      </c>
      <c r="K49" s="8">
        <f t="shared" si="22"/>
        <v>0</v>
      </c>
      <c r="L49" s="8">
        <f t="shared" si="22"/>
        <v>0</v>
      </c>
      <c r="M49" s="8">
        <f t="shared" si="22"/>
        <v>0</v>
      </c>
      <c r="N49" s="8">
        <f t="shared" si="22"/>
        <v>0</v>
      </c>
      <c r="O49" s="8">
        <f t="shared" si="22"/>
        <v>0</v>
      </c>
      <c r="P49" s="8">
        <f t="shared" si="22"/>
        <v>0</v>
      </c>
      <c r="Q49" s="8">
        <f t="shared" si="22"/>
        <v>1</v>
      </c>
      <c r="R49" s="8">
        <f t="shared" si="22"/>
        <v>1</v>
      </c>
      <c r="S49" s="8">
        <f t="shared" si="22"/>
        <v>1</v>
      </c>
      <c r="T49" s="8">
        <f t="shared" si="22"/>
        <v>1</v>
      </c>
      <c r="U49" s="8">
        <f t="shared" si="22"/>
        <v>1</v>
      </c>
      <c r="V49" s="8">
        <f t="shared" si="22"/>
        <v>1</v>
      </c>
      <c r="W49" s="8">
        <f t="shared" si="22"/>
        <v>0</v>
      </c>
      <c r="X49" s="8">
        <f t="shared" si="22"/>
        <v>0</v>
      </c>
      <c r="Y49" s="9"/>
    </row>
    <row r="50" spans="4:32" x14ac:dyDescent="0.3">
      <c r="E50" s="1" t="s">
        <v>39</v>
      </c>
      <c r="G50" s="1" t="str">
        <f t="shared" ref="G50:Y50" si="23">G11</f>
        <v>1</v>
      </c>
      <c r="H50" s="1" t="str">
        <f t="shared" si="23"/>
        <v>1</v>
      </c>
      <c r="I50" s="1" t="str">
        <f t="shared" si="23"/>
        <v>0</v>
      </c>
      <c r="J50" s="1" t="str">
        <f t="shared" si="23"/>
        <v>0</v>
      </c>
      <c r="K50" s="1" t="str">
        <f t="shared" si="23"/>
        <v>.</v>
      </c>
      <c r="L50" s="1" t="str">
        <f t="shared" si="23"/>
        <v>0</v>
      </c>
      <c r="M50" s="1" t="str">
        <f t="shared" si="23"/>
        <v>0</v>
      </c>
      <c r="N50" s="1" t="str">
        <f t="shared" si="23"/>
        <v>0</v>
      </c>
      <c r="O50" s="1" t="str">
        <f t="shared" si="23"/>
        <v>1</v>
      </c>
      <c r="P50" s="1" t="str">
        <f t="shared" si="23"/>
        <v>.</v>
      </c>
      <c r="Q50" s="1" t="str">
        <f t="shared" si="23"/>
        <v>0</v>
      </c>
      <c r="R50" s="1" t="str">
        <f t="shared" si="23"/>
        <v>0</v>
      </c>
      <c r="S50" s="1" t="str">
        <f t="shared" si="23"/>
        <v>1</v>
      </c>
      <c r="T50" s="1" t="str">
        <f t="shared" si="23"/>
        <v>0</v>
      </c>
      <c r="U50" s="1" t="str">
        <f t="shared" si="23"/>
        <v>.</v>
      </c>
      <c r="V50" s="1" t="str">
        <f t="shared" si="23"/>
        <v>0</v>
      </c>
      <c r="W50" s="1" t="str">
        <f t="shared" si="23"/>
        <v>1</v>
      </c>
      <c r="X50" s="1" t="str">
        <f t="shared" si="23"/>
        <v>1</v>
      </c>
      <c r="Y50" s="1" t="str">
        <f t="shared" si="23"/>
        <v>0</v>
      </c>
      <c r="AC50" t="s">
        <v>65</v>
      </c>
      <c r="AD50">
        <f>C11</f>
        <v>-16090</v>
      </c>
      <c r="AF50" t="str">
        <f>VLOOKUP(IF(AB55=0,AB55&amp;J55,AB55&amp;"-"&amp;G50),AF$3:AG$6,2,0)</f>
        <v>При сложении отрицательных чисел был получен положительный результат, он не корректный из за переполнения.</v>
      </c>
    </row>
    <row r="51" spans="4:32" x14ac:dyDescent="0.3">
      <c r="D51" t="s">
        <v>36</v>
      </c>
      <c r="E51" s="1" t="s">
        <v>40</v>
      </c>
      <c r="G51" s="1" t="str">
        <f t="shared" ref="G51:Y51" si="24">G12</f>
        <v>1</v>
      </c>
      <c r="H51" s="1" t="str">
        <f t="shared" si="24"/>
        <v>0</v>
      </c>
      <c r="I51" s="1" t="str">
        <f t="shared" si="24"/>
        <v>1</v>
      </c>
      <c r="J51" s="1" t="str">
        <f t="shared" si="24"/>
        <v>0</v>
      </c>
      <c r="K51" s="1" t="str">
        <f t="shared" si="24"/>
        <v>.</v>
      </c>
      <c r="L51" s="1" t="str">
        <f t="shared" si="24"/>
        <v>0</v>
      </c>
      <c r="M51" s="1" t="str">
        <f t="shared" si="24"/>
        <v>0</v>
      </c>
      <c r="N51" s="1" t="str">
        <f t="shared" si="24"/>
        <v>0</v>
      </c>
      <c r="O51" s="1" t="str">
        <f t="shared" si="24"/>
        <v>0</v>
      </c>
      <c r="P51" s="1" t="str">
        <f t="shared" si="24"/>
        <v>.</v>
      </c>
      <c r="Q51" s="1" t="str">
        <f t="shared" si="24"/>
        <v>0</v>
      </c>
      <c r="R51" s="1" t="str">
        <f t="shared" si="24"/>
        <v>1</v>
      </c>
      <c r="S51" s="1" t="str">
        <f t="shared" si="24"/>
        <v>1</v>
      </c>
      <c r="T51" s="1" t="str">
        <f t="shared" si="24"/>
        <v>1</v>
      </c>
      <c r="U51" s="1" t="str">
        <f t="shared" si="24"/>
        <v>.</v>
      </c>
      <c r="V51" s="1" t="str">
        <f t="shared" si="24"/>
        <v>1</v>
      </c>
      <c r="W51" s="1" t="str">
        <f t="shared" si="24"/>
        <v>1</v>
      </c>
      <c r="X51" s="1" t="str">
        <f t="shared" si="24"/>
        <v>0</v>
      </c>
      <c r="Y51" s="1" t="str">
        <f t="shared" si="24"/>
        <v>1</v>
      </c>
      <c r="AB51" s="1" t="s">
        <v>36</v>
      </c>
      <c r="AC51" t="s">
        <v>66</v>
      </c>
      <c r="AD51">
        <f>C12</f>
        <v>-24451</v>
      </c>
    </row>
    <row r="52" spans="4:32" x14ac:dyDescent="0.3">
      <c r="E52" s="2" t="s">
        <v>42</v>
      </c>
      <c r="F52" t="s">
        <v>42</v>
      </c>
      <c r="G52" s="3" t="s">
        <v>43</v>
      </c>
      <c r="H52" s="3" t="s">
        <v>43</v>
      </c>
      <c r="I52" s="3" t="s">
        <v>43</v>
      </c>
      <c r="J52" s="3" t="s">
        <v>43</v>
      </c>
      <c r="K52" s="3" t="s">
        <v>44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44</v>
      </c>
      <c r="Q52" s="3" t="s">
        <v>43</v>
      </c>
      <c r="R52" s="3" t="s">
        <v>43</v>
      </c>
      <c r="S52" s="3" t="s">
        <v>43</v>
      </c>
      <c r="T52" s="3" t="s">
        <v>43</v>
      </c>
      <c r="U52" s="3" t="s">
        <v>44</v>
      </c>
      <c r="V52" s="3" t="s">
        <v>43</v>
      </c>
      <c r="W52" s="3" t="s">
        <v>43</v>
      </c>
      <c r="X52" s="3" t="s">
        <v>43</v>
      </c>
      <c r="Y52" s="3" t="s">
        <v>43</v>
      </c>
      <c r="AB52" s="1" t="s">
        <v>14</v>
      </c>
      <c r="AC52" s="3" t="s">
        <v>47</v>
      </c>
      <c r="AD52" s="3" t="s">
        <v>47</v>
      </c>
    </row>
    <row r="53" spans="4:32" x14ac:dyDescent="0.3">
      <c r="G53" s="4">
        <f t="shared" ref="G53:Y53" si="25">IF(G51=".",G51,MOD(G51+G50+G49, 2))</f>
        <v>0</v>
      </c>
      <c r="H53" s="4">
        <f t="shared" si="25"/>
        <v>1</v>
      </c>
      <c r="I53" s="4">
        <f t="shared" si="25"/>
        <v>1</v>
      </c>
      <c r="J53" s="4">
        <f t="shared" si="25"/>
        <v>0</v>
      </c>
      <c r="K53" s="4" t="str">
        <f t="shared" si="25"/>
        <v>.</v>
      </c>
      <c r="L53" s="4">
        <f t="shared" si="25"/>
        <v>0</v>
      </c>
      <c r="M53" s="4">
        <f t="shared" si="25"/>
        <v>0</v>
      </c>
      <c r="N53" s="4">
        <f t="shared" si="25"/>
        <v>0</v>
      </c>
      <c r="O53" s="4">
        <f t="shared" si="25"/>
        <v>1</v>
      </c>
      <c r="P53" s="4" t="str">
        <f t="shared" si="25"/>
        <v>.</v>
      </c>
      <c r="Q53" s="4">
        <f t="shared" si="25"/>
        <v>1</v>
      </c>
      <c r="R53" s="4">
        <f t="shared" si="25"/>
        <v>0</v>
      </c>
      <c r="S53" s="4">
        <f t="shared" si="25"/>
        <v>1</v>
      </c>
      <c r="T53" s="4">
        <f t="shared" si="25"/>
        <v>0</v>
      </c>
      <c r="U53" s="4" t="str">
        <f t="shared" si="25"/>
        <v>.</v>
      </c>
      <c r="V53" s="4">
        <f t="shared" si="25"/>
        <v>0</v>
      </c>
      <c r="W53" s="4">
        <f t="shared" si="25"/>
        <v>0</v>
      </c>
      <c r="X53" s="4">
        <f t="shared" si="25"/>
        <v>1</v>
      </c>
      <c r="Y53" s="4">
        <f t="shared" si="25"/>
        <v>1</v>
      </c>
      <c r="Z53" t="s">
        <v>45</v>
      </c>
      <c r="AA53" s="4">
        <f>IF(G53=1,_xlfn.DECIMAL(G53&amp;H53&amp;I53&amp;J53&amp;L53&amp;M53&amp;N53&amp;O53&amp;Q53&amp;R53&amp;S53&amp;T53&amp;V53&amp;W53&amp;X53&amp;Y53,2)-65536,_xlfn.DECIMAL(G53&amp;H53&amp;I53&amp;J53&amp;L53&amp;M53&amp;N53&amp;O53&amp;Q53&amp;R53&amp;S53&amp;T53&amp;V53&amp;W53&amp;X53&amp;Y53,2))</f>
        <v>24995</v>
      </c>
      <c r="AB53" s="5" t="s">
        <v>46</v>
      </c>
      <c r="AD53">
        <f>AD50+AD51</f>
        <v>-40541</v>
      </c>
      <c r="AE53" s="5" t="s">
        <v>46</v>
      </c>
    </row>
    <row r="55" spans="4:32" x14ac:dyDescent="0.3">
      <c r="I55" t="s">
        <v>58</v>
      </c>
      <c r="J55">
        <f>IF(G49+G50+G51&gt;1,1,0)</f>
        <v>1</v>
      </c>
      <c r="M55" t="s">
        <v>59</v>
      </c>
      <c r="N55" s="7">
        <f>U49</f>
        <v>1</v>
      </c>
      <c r="Q55" t="s">
        <v>61</v>
      </c>
      <c r="R55" s="7">
        <f>G53</f>
        <v>0</v>
      </c>
      <c r="T55" t="s">
        <v>60</v>
      </c>
      <c r="U55" s="7">
        <f>1-MOD(SUM(Q53:T53)+SUM(V53:Y53),2)</f>
        <v>1</v>
      </c>
      <c r="X55" t="s">
        <v>62</v>
      </c>
      <c r="Y55" s="7">
        <f>IF(AA53=0,1,0)</f>
        <v>0</v>
      </c>
      <c r="AA55" s="1" t="s">
        <v>57</v>
      </c>
      <c r="AB55" s="7">
        <f>MOD(J55+G49,2)</f>
        <v>1</v>
      </c>
    </row>
    <row r="57" spans="4:32" x14ac:dyDescent="0.3">
      <c r="G57" s="8">
        <f t="shared" ref="G57:X57" si="26">IF(H58=".",H57,ROUNDDOWN((H57+H58+H59)/2,0))</f>
        <v>1</v>
      </c>
      <c r="H57" s="8">
        <f t="shared" si="26"/>
        <v>1</v>
      </c>
      <c r="I57" s="8">
        <f t="shared" si="26"/>
        <v>1</v>
      </c>
      <c r="J57" s="8">
        <f t="shared" si="26"/>
        <v>1</v>
      </c>
      <c r="K57" s="8">
        <f t="shared" si="26"/>
        <v>1</v>
      </c>
      <c r="L57" s="8">
        <f t="shared" si="26"/>
        <v>1</v>
      </c>
      <c r="M57" s="8">
        <f t="shared" si="26"/>
        <v>1</v>
      </c>
      <c r="N57" s="8">
        <f t="shared" si="26"/>
        <v>1</v>
      </c>
      <c r="O57" s="8">
        <f t="shared" si="26"/>
        <v>1</v>
      </c>
      <c r="P57" s="8">
        <f t="shared" si="26"/>
        <v>1</v>
      </c>
      <c r="Q57" s="8">
        <f t="shared" si="26"/>
        <v>1</v>
      </c>
      <c r="R57" s="8">
        <f t="shared" si="26"/>
        <v>1</v>
      </c>
      <c r="S57" s="8">
        <f t="shared" si="26"/>
        <v>1</v>
      </c>
      <c r="T57" s="8">
        <f t="shared" si="26"/>
        <v>1</v>
      </c>
      <c r="U57" s="8">
        <f t="shared" si="26"/>
        <v>1</v>
      </c>
      <c r="V57" s="8">
        <f t="shared" si="26"/>
        <v>1</v>
      </c>
      <c r="W57" s="8">
        <f t="shared" si="26"/>
        <v>1</v>
      </c>
      <c r="X57" s="8">
        <f t="shared" si="26"/>
        <v>0</v>
      </c>
    </row>
    <row r="58" spans="4:32" x14ac:dyDescent="0.3">
      <c r="E58" s="1" t="s">
        <v>34</v>
      </c>
      <c r="G58" s="1" t="str">
        <f t="shared" ref="G58:Y58" si="27">G5</f>
        <v>0</v>
      </c>
      <c r="H58" s="1" t="str">
        <f t="shared" si="27"/>
        <v>0</v>
      </c>
      <c r="I58" s="1" t="str">
        <f t="shared" si="27"/>
        <v>1</v>
      </c>
      <c r="J58" s="1" t="str">
        <f t="shared" si="27"/>
        <v>1</v>
      </c>
      <c r="K58" s="1" t="str">
        <f t="shared" si="27"/>
        <v>.</v>
      </c>
      <c r="L58" s="1" t="str">
        <f t="shared" si="27"/>
        <v>1</v>
      </c>
      <c r="M58" s="1" t="str">
        <f t="shared" si="27"/>
        <v>1</v>
      </c>
      <c r="N58" s="1" t="str">
        <f t="shared" si="27"/>
        <v>1</v>
      </c>
      <c r="O58" s="1" t="str">
        <f t="shared" si="27"/>
        <v>0</v>
      </c>
      <c r="P58" s="1" t="str">
        <f t="shared" si="27"/>
        <v>.</v>
      </c>
      <c r="Q58" s="1" t="str">
        <f t="shared" si="27"/>
        <v>1</v>
      </c>
      <c r="R58" s="1" t="str">
        <f t="shared" si="27"/>
        <v>1</v>
      </c>
      <c r="S58" s="1" t="str">
        <f t="shared" si="27"/>
        <v>0</v>
      </c>
      <c r="T58" s="1" t="str">
        <f t="shared" si="27"/>
        <v>1</v>
      </c>
      <c r="U58" s="1" t="str">
        <f t="shared" si="27"/>
        <v>.</v>
      </c>
      <c r="V58" s="1" t="str">
        <f t="shared" si="27"/>
        <v>1</v>
      </c>
      <c r="W58" s="1" t="str">
        <f t="shared" si="27"/>
        <v>0</v>
      </c>
      <c r="X58" s="1" t="str">
        <f t="shared" si="27"/>
        <v>1</v>
      </c>
      <c r="Y58" s="1" t="str">
        <f t="shared" si="27"/>
        <v>0</v>
      </c>
      <c r="AC58" t="s">
        <v>49</v>
      </c>
      <c r="AD58">
        <f>C5</f>
        <v>16090</v>
      </c>
      <c r="AF58" t="str">
        <f>VLOOKUP(IF(AB63=0,AB63&amp;J63,AB63&amp;"-"&amp;G58),AF$3:AG$6,2,0)</f>
        <v>Результат выполнения операции с отрицательным числом(числами) верный и корректный, совпадает с суммой десятичных эквивалентов.</v>
      </c>
    </row>
    <row r="59" spans="4:32" x14ac:dyDescent="0.3">
      <c r="D59" t="s">
        <v>36</v>
      </c>
      <c r="E59" s="1" t="s">
        <v>39</v>
      </c>
      <c r="G59" s="1" t="str">
        <f t="shared" ref="G59:Y59" si="28">G11</f>
        <v>1</v>
      </c>
      <c r="H59" s="1" t="str">
        <f t="shared" si="28"/>
        <v>1</v>
      </c>
      <c r="I59" s="1" t="str">
        <f t="shared" si="28"/>
        <v>0</v>
      </c>
      <c r="J59" s="1" t="str">
        <f t="shared" si="28"/>
        <v>0</v>
      </c>
      <c r="K59" s="1" t="str">
        <f t="shared" si="28"/>
        <v>.</v>
      </c>
      <c r="L59" s="1" t="str">
        <f t="shared" si="28"/>
        <v>0</v>
      </c>
      <c r="M59" s="1" t="str">
        <f t="shared" si="28"/>
        <v>0</v>
      </c>
      <c r="N59" s="1" t="str">
        <f t="shared" si="28"/>
        <v>0</v>
      </c>
      <c r="O59" s="1" t="str">
        <f t="shared" si="28"/>
        <v>1</v>
      </c>
      <c r="P59" s="1" t="str">
        <f t="shared" si="28"/>
        <v>.</v>
      </c>
      <c r="Q59" s="1" t="str">
        <f t="shared" si="28"/>
        <v>0</v>
      </c>
      <c r="R59" s="1" t="str">
        <f t="shared" si="28"/>
        <v>0</v>
      </c>
      <c r="S59" s="1" t="str">
        <f t="shared" si="28"/>
        <v>1</v>
      </c>
      <c r="T59" s="1" t="str">
        <f t="shared" si="28"/>
        <v>0</v>
      </c>
      <c r="U59" s="1" t="str">
        <f t="shared" si="28"/>
        <v>.</v>
      </c>
      <c r="V59" s="1" t="str">
        <f t="shared" si="28"/>
        <v>0</v>
      </c>
      <c r="W59" s="1" t="str">
        <f t="shared" si="28"/>
        <v>1</v>
      </c>
      <c r="X59" s="1" t="str">
        <f t="shared" si="28"/>
        <v>1</v>
      </c>
      <c r="Y59" s="1" t="str">
        <f t="shared" si="28"/>
        <v>0</v>
      </c>
      <c r="AB59" s="1" t="s">
        <v>36</v>
      </c>
      <c r="AC59" t="s">
        <v>65</v>
      </c>
      <c r="AD59">
        <f>C11</f>
        <v>-16090</v>
      </c>
    </row>
    <row r="60" spans="4:32" x14ac:dyDescent="0.3">
      <c r="E60" s="2" t="s">
        <v>42</v>
      </c>
      <c r="F60" t="s">
        <v>42</v>
      </c>
      <c r="G60" s="3" t="s">
        <v>43</v>
      </c>
      <c r="H60" s="3" t="s">
        <v>43</v>
      </c>
      <c r="I60" s="3" t="s">
        <v>43</v>
      </c>
      <c r="J60" s="3" t="s">
        <v>43</v>
      </c>
      <c r="K60" s="3" t="s">
        <v>44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44</v>
      </c>
      <c r="Q60" s="3" t="s">
        <v>43</v>
      </c>
      <c r="R60" s="3" t="s">
        <v>43</v>
      </c>
      <c r="S60" s="3" t="s">
        <v>43</v>
      </c>
      <c r="T60" s="3" t="s">
        <v>43</v>
      </c>
      <c r="U60" s="3" t="s">
        <v>44</v>
      </c>
      <c r="V60" s="3" t="s">
        <v>43</v>
      </c>
      <c r="W60" s="3" t="s">
        <v>43</v>
      </c>
      <c r="X60" s="3" t="s">
        <v>43</v>
      </c>
      <c r="Y60" s="3" t="s">
        <v>43</v>
      </c>
      <c r="AB60" s="1" t="s">
        <v>14</v>
      </c>
      <c r="AC60" s="3" t="s">
        <v>47</v>
      </c>
      <c r="AD60" s="3" t="s">
        <v>47</v>
      </c>
    </row>
    <row r="61" spans="4:32" x14ac:dyDescent="0.3">
      <c r="G61" s="4">
        <f t="shared" ref="G61:Y61" si="29">IF(G59=".",G59,MOD(G59+G58+G57, 2))</f>
        <v>0</v>
      </c>
      <c r="H61" s="4">
        <f t="shared" si="29"/>
        <v>0</v>
      </c>
      <c r="I61" s="4">
        <f t="shared" si="29"/>
        <v>0</v>
      </c>
      <c r="J61" s="4">
        <f t="shared" si="29"/>
        <v>0</v>
      </c>
      <c r="K61" s="4" t="str">
        <f t="shared" si="29"/>
        <v>.</v>
      </c>
      <c r="L61" s="4">
        <f t="shared" si="29"/>
        <v>0</v>
      </c>
      <c r="M61" s="4">
        <f t="shared" si="29"/>
        <v>0</v>
      </c>
      <c r="N61" s="4">
        <f t="shared" si="29"/>
        <v>0</v>
      </c>
      <c r="O61" s="4">
        <f t="shared" si="29"/>
        <v>0</v>
      </c>
      <c r="P61" s="4" t="str">
        <f t="shared" si="29"/>
        <v>.</v>
      </c>
      <c r="Q61" s="4">
        <f t="shared" si="29"/>
        <v>0</v>
      </c>
      <c r="R61" s="4">
        <f t="shared" si="29"/>
        <v>0</v>
      </c>
      <c r="S61" s="4">
        <f t="shared" si="29"/>
        <v>0</v>
      </c>
      <c r="T61" s="4">
        <f t="shared" si="29"/>
        <v>0</v>
      </c>
      <c r="U61" s="4" t="str">
        <f t="shared" si="29"/>
        <v>.</v>
      </c>
      <c r="V61" s="4">
        <f t="shared" si="29"/>
        <v>0</v>
      </c>
      <c r="W61" s="4">
        <f t="shared" si="29"/>
        <v>0</v>
      </c>
      <c r="X61" s="4">
        <f t="shared" si="29"/>
        <v>0</v>
      </c>
      <c r="Y61" s="4">
        <f t="shared" si="29"/>
        <v>0</v>
      </c>
      <c r="Z61" t="s">
        <v>45</v>
      </c>
      <c r="AA61" s="4">
        <f>IF(G61=1,_xlfn.DECIMAL(G61&amp;H61&amp;I61&amp;J61&amp;L61&amp;M61&amp;N61&amp;O61&amp;Q61&amp;R61&amp;S61&amp;T61&amp;V61&amp;W61&amp;X61&amp;Y61,2)-65536,_xlfn.DECIMAL(G61&amp;H61&amp;I61&amp;J61&amp;L61&amp;M61&amp;N61&amp;O61&amp;Q61&amp;R61&amp;S61&amp;T61&amp;V61&amp;W61&amp;X61&amp;Y61,2))</f>
        <v>0</v>
      </c>
      <c r="AB61" s="5" t="s">
        <v>46</v>
      </c>
      <c r="AD61">
        <f>AD58+AD59</f>
        <v>0</v>
      </c>
      <c r="AE61" s="5" t="s">
        <v>46</v>
      </c>
    </row>
    <row r="63" spans="4:32" x14ac:dyDescent="0.3">
      <c r="I63" t="s">
        <v>58</v>
      </c>
      <c r="J63">
        <f>IF(G57+G58+G59&gt;1,1,0)</f>
        <v>1</v>
      </c>
      <c r="M63" t="s">
        <v>59</v>
      </c>
      <c r="N63" s="7">
        <f>U57</f>
        <v>1</v>
      </c>
      <c r="Q63" t="s">
        <v>61</v>
      </c>
      <c r="R63" s="7">
        <f>G61</f>
        <v>0</v>
      </c>
      <c r="T63" t="s">
        <v>60</v>
      </c>
      <c r="U63" s="7">
        <f>1-MOD(SUM(Q61:T61)+SUM(V61:Y61),2)</f>
        <v>1</v>
      </c>
      <c r="X63" t="s">
        <v>62</v>
      </c>
      <c r="Y63" s="7">
        <f>IF(AA61=0,1,0)</f>
        <v>1</v>
      </c>
      <c r="AA63" s="1" t="s">
        <v>57</v>
      </c>
      <c r="AB63" s="7">
        <f>MOD(J63+G57,2)</f>
        <v>0</v>
      </c>
    </row>
    <row r="65" spans="4:32" x14ac:dyDescent="0.3">
      <c r="G65" s="8">
        <f t="shared" ref="G65:X65" si="30">IF(H66=".",H65,ROUNDDOWN((H65+H66+H67)/2,0))</f>
        <v>1</v>
      </c>
      <c r="H65" s="8">
        <f t="shared" si="30"/>
        <v>1</v>
      </c>
      <c r="I65" s="8">
        <f t="shared" si="30"/>
        <v>1</v>
      </c>
      <c r="J65" s="8">
        <f t="shared" si="30"/>
        <v>1</v>
      </c>
      <c r="K65" s="8">
        <f t="shared" si="30"/>
        <v>1</v>
      </c>
      <c r="L65" s="8">
        <f t="shared" si="30"/>
        <v>1</v>
      </c>
      <c r="M65" s="8">
        <f t="shared" si="30"/>
        <v>1</v>
      </c>
      <c r="N65" s="8">
        <f t="shared" si="30"/>
        <v>1</v>
      </c>
      <c r="O65" s="8">
        <f t="shared" si="30"/>
        <v>1</v>
      </c>
      <c r="P65" s="8">
        <f t="shared" si="30"/>
        <v>1</v>
      </c>
      <c r="Q65" s="8">
        <f t="shared" si="30"/>
        <v>0</v>
      </c>
      <c r="R65" s="8">
        <f t="shared" si="30"/>
        <v>0</v>
      </c>
      <c r="S65" s="8">
        <f t="shared" si="30"/>
        <v>0</v>
      </c>
      <c r="T65" s="8">
        <f t="shared" si="30"/>
        <v>1</v>
      </c>
      <c r="U65" s="8">
        <f t="shared" si="30"/>
        <v>1</v>
      </c>
      <c r="V65" s="8">
        <f t="shared" si="30"/>
        <v>1</v>
      </c>
      <c r="W65" s="8">
        <f t="shared" si="30"/>
        <v>1</v>
      </c>
      <c r="X65" s="8">
        <f t="shared" si="30"/>
        <v>1</v>
      </c>
    </row>
    <row r="66" spans="4:32" x14ac:dyDescent="0.3">
      <c r="E66" s="1" t="s">
        <v>41</v>
      </c>
      <c r="G66" s="1" t="str">
        <f t="shared" ref="G66:Y66" si="31">G14</f>
        <v>1</v>
      </c>
      <c r="H66" s="1" t="str">
        <f t="shared" si="31"/>
        <v>1</v>
      </c>
      <c r="I66" s="1" t="str">
        <f t="shared" si="31"/>
        <v>1</v>
      </c>
      <c r="J66" s="1" t="str">
        <f t="shared" si="31"/>
        <v>0</v>
      </c>
      <c r="K66" s="1" t="str">
        <f t="shared" si="31"/>
        <v>.</v>
      </c>
      <c r="L66" s="1" t="str">
        <f t="shared" si="31"/>
        <v>0</v>
      </c>
      <c r="M66" s="1" t="str">
        <f t="shared" si="31"/>
        <v>0</v>
      </c>
      <c r="N66" s="1" t="str">
        <f t="shared" si="31"/>
        <v>0</v>
      </c>
      <c r="O66" s="1" t="str">
        <f t="shared" si="31"/>
        <v>1</v>
      </c>
      <c r="P66" s="1" t="str">
        <f t="shared" si="31"/>
        <v>.</v>
      </c>
      <c r="Q66" s="1" t="str">
        <f t="shared" si="31"/>
        <v>1</v>
      </c>
      <c r="R66" s="1" t="str">
        <f t="shared" si="31"/>
        <v>1</v>
      </c>
      <c r="S66" s="1" t="str">
        <f t="shared" si="31"/>
        <v>0</v>
      </c>
      <c r="T66" s="1" t="str">
        <f t="shared" si="31"/>
        <v>0</v>
      </c>
      <c r="U66" s="1" t="str">
        <f t="shared" si="31"/>
        <v>.</v>
      </c>
      <c r="V66" s="1" t="str">
        <f t="shared" si="31"/>
        <v>1</v>
      </c>
      <c r="W66" s="1" t="str">
        <f t="shared" si="31"/>
        <v>1</v>
      </c>
      <c r="X66" s="1" t="str">
        <f t="shared" si="31"/>
        <v>1</v>
      </c>
      <c r="Y66" s="1" t="str">
        <f t="shared" si="31"/>
        <v>1</v>
      </c>
      <c r="AC66" t="s">
        <v>67</v>
      </c>
      <c r="AD66">
        <f>C14</f>
        <v>-7729</v>
      </c>
      <c r="AF66" t="str">
        <f>VLOOKUP(IF(AB71=0,AB71&amp;J71,AB71&amp;"-"&amp;G66),AF$3:AG$6,2,0)</f>
        <v>Результат выполнения операции с отрицательным числом(числами) верный и корректный, совпадает с суммой десятичных эквивалентов.</v>
      </c>
    </row>
    <row r="67" spans="4:32" x14ac:dyDescent="0.3">
      <c r="D67" t="s">
        <v>36</v>
      </c>
      <c r="E67" s="1" t="s">
        <v>37</v>
      </c>
      <c r="G67" s="1" t="str">
        <f t="shared" ref="G67:Y67" si="32">G6</f>
        <v>0</v>
      </c>
      <c r="H67" s="1" t="str">
        <f t="shared" si="32"/>
        <v>1</v>
      </c>
      <c r="I67" s="1" t="str">
        <f t="shared" si="32"/>
        <v>0</v>
      </c>
      <c r="J67" s="1" t="str">
        <f t="shared" si="32"/>
        <v>1</v>
      </c>
      <c r="K67" s="1" t="str">
        <f t="shared" si="32"/>
        <v>.</v>
      </c>
      <c r="L67" s="1" t="str">
        <f t="shared" si="32"/>
        <v>1</v>
      </c>
      <c r="M67" s="1" t="str">
        <f t="shared" si="32"/>
        <v>1</v>
      </c>
      <c r="N67" s="1" t="str">
        <f t="shared" si="32"/>
        <v>1</v>
      </c>
      <c r="O67" s="1" t="str">
        <f t="shared" si="32"/>
        <v>1</v>
      </c>
      <c r="P67" s="1" t="str">
        <f t="shared" si="32"/>
        <v>.</v>
      </c>
      <c r="Q67" s="1" t="str">
        <f t="shared" si="32"/>
        <v>1</v>
      </c>
      <c r="R67" s="1" t="str">
        <f t="shared" si="32"/>
        <v>0</v>
      </c>
      <c r="S67" s="1" t="str">
        <f t="shared" si="32"/>
        <v>0</v>
      </c>
      <c r="T67" s="1" t="str">
        <f t="shared" si="32"/>
        <v>0</v>
      </c>
      <c r="U67" s="1" t="str">
        <f t="shared" si="32"/>
        <v>.</v>
      </c>
      <c r="V67" s="1" t="str">
        <f t="shared" si="32"/>
        <v>0</v>
      </c>
      <c r="W67" s="1" t="str">
        <f t="shared" si="32"/>
        <v>0</v>
      </c>
      <c r="X67" s="1" t="str">
        <f t="shared" si="32"/>
        <v>1</v>
      </c>
      <c r="Y67" s="1" t="str">
        <f t="shared" si="32"/>
        <v>1</v>
      </c>
      <c r="AB67" s="1" t="s">
        <v>36</v>
      </c>
      <c r="AC67" t="s">
        <v>63</v>
      </c>
      <c r="AD67">
        <f>C6</f>
        <v>24451</v>
      </c>
    </row>
    <row r="68" spans="4:32" x14ac:dyDescent="0.3">
      <c r="E68" s="2" t="s">
        <v>42</v>
      </c>
      <c r="F68" t="s">
        <v>42</v>
      </c>
      <c r="G68" s="3" t="s">
        <v>43</v>
      </c>
      <c r="H68" s="3" t="s">
        <v>43</v>
      </c>
      <c r="I68" s="3" t="s">
        <v>43</v>
      </c>
      <c r="J68" s="3" t="s">
        <v>43</v>
      </c>
      <c r="K68" s="3" t="s">
        <v>44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44</v>
      </c>
      <c r="Q68" s="3" t="s">
        <v>43</v>
      </c>
      <c r="R68" s="3" t="s">
        <v>43</v>
      </c>
      <c r="S68" s="3" t="s">
        <v>43</v>
      </c>
      <c r="T68" s="3" t="s">
        <v>43</v>
      </c>
      <c r="U68" s="3" t="s">
        <v>44</v>
      </c>
      <c r="V68" s="3" t="s">
        <v>43</v>
      </c>
      <c r="W68" s="3" t="s">
        <v>43</v>
      </c>
      <c r="X68" s="3" t="s">
        <v>43</v>
      </c>
      <c r="Y68" s="3" t="s">
        <v>43</v>
      </c>
      <c r="AB68" s="1" t="s">
        <v>14</v>
      </c>
      <c r="AC68" s="3" t="s">
        <v>47</v>
      </c>
      <c r="AD68" s="3" t="s">
        <v>47</v>
      </c>
    </row>
    <row r="69" spans="4:32" x14ac:dyDescent="0.3">
      <c r="G69" s="4">
        <f t="shared" ref="G69:Y69" si="33">IF(G67=".",G67,MOD(G67+G66+G65, 2))</f>
        <v>0</v>
      </c>
      <c r="H69" s="4">
        <f t="shared" si="33"/>
        <v>1</v>
      </c>
      <c r="I69" s="4">
        <f t="shared" si="33"/>
        <v>0</v>
      </c>
      <c r="J69" s="4">
        <f t="shared" si="33"/>
        <v>0</v>
      </c>
      <c r="K69" s="4" t="str">
        <f t="shared" si="33"/>
        <v>.</v>
      </c>
      <c r="L69" s="4">
        <f t="shared" si="33"/>
        <v>0</v>
      </c>
      <c r="M69" s="4">
        <f t="shared" si="33"/>
        <v>0</v>
      </c>
      <c r="N69" s="4">
        <f t="shared" si="33"/>
        <v>0</v>
      </c>
      <c r="O69" s="4">
        <f t="shared" si="33"/>
        <v>1</v>
      </c>
      <c r="P69" s="4" t="str">
        <f t="shared" si="33"/>
        <v>.</v>
      </c>
      <c r="Q69" s="4">
        <f t="shared" si="33"/>
        <v>0</v>
      </c>
      <c r="R69" s="4">
        <f t="shared" si="33"/>
        <v>1</v>
      </c>
      <c r="S69" s="4">
        <f t="shared" si="33"/>
        <v>0</v>
      </c>
      <c r="T69" s="4">
        <f t="shared" si="33"/>
        <v>1</v>
      </c>
      <c r="U69" s="4" t="str">
        <f t="shared" si="33"/>
        <v>.</v>
      </c>
      <c r="V69" s="4">
        <f t="shared" si="33"/>
        <v>0</v>
      </c>
      <c r="W69" s="4">
        <f t="shared" si="33"/>
        <v>0</v>
      </c>
      <c r="X69" s="4">
        <f t="shared" si="33"/>
        <v>1</v>
      </c>
      <c r="Y69" s="4">
        <f t="shared" si="33"/>
        <v>0</v>
      </c>
      <c r="Z69" t="s">
        <v>45</v>
      </c>
      <c r="AA69" s="4">
        <f>IF(G69=1,_xlfn.DECIMAL(G69&amp;H69&amp;I69&amp;J69&amp;L69&amp;M69&amp;N69&amp;O69&amp;Q69&amp;R69&amp;S69&amp;T69&amp;V69&amp;W69&amp;X69&amp;Y69,2)-65536,_xlfn.DECIMAL(G69&amp;H69&amp;I69&amp;J69&amp;L69&amp;M69&amp;N69&amp;O69&amp;Q69&amp;R69&amp;S69&amp;T69&amp;V69&amp;W69&amp;X69&amp;Y69,2))</f>
        <v>16722</v>
      </c>
      <c r="AB69" s="5" t="s">
        <v>46</v>
      </c>
      <c r="AD69">
        <f>AD66+AD67</f>
        <v>16722</v>
      </c>
      <c r="AE69" s="5" t="s">
        <v>46</v>
      </c>
    </row>
    <row r="71" spans="4:32" x14ac:dyDescent="0.3">
      <c r="I71" t="s">
        <v>58</v>
      </c>
      <c r="J71">
        <f>IF(G65+G66+G67&gt;1,1,0)</f>
        <v>1</v>
      </c>
      <c r="M71" t="s">
        <v>59</v>
      </c>
      <c r="N71" s="7">
        <f>U65</f>
        <v>1</v>
      </c>
      <c r="Q71" t="s">
        <v>61</v>
      </c>
      <c r="R71" s="7">
        <f>G69</f>
        <v>0</v>
      </c>
      <c r="T71" t="s">
        <v>60</v>
      </c>
      <c r="U71" s="7">
        <f>1-MOD(SUM(Q69:T69)+SUM(V69:Y69),2)</f>
        <v>0</v>
      </c>
      <c r="X71" t="s">
        <v>62</v>
      </c>
      <c r="Y71" s="7">
        <f>IF(AA69=0,1,0)</f>
        <v>0</v>
      </c>
      <c r="AA71" s="1" t="s">
        <v>57</v>
      </c>
      <c r="AB71" s="7">
        <f>MOD(J71+G65,2)</f>
        <v>0</v>
      </c>
    </row>
  </sheetData>
  <conditionalFormatting sqref="G4:Y7">
    <cfRule type="containsText" dxfId="2" priority="13" operator="containsText" text="1">
      <formula>NOT(ISERROR(SEARCH("1",G4)))</formula>
    </cfRule>
    <cfRule type="containsText" dxfId="1" priority="14" operator="containsText" text="0">
      <formula>NOT(ISERROR(SEARCH("0",G4)))</formula>
    </cfRule>
    <cfRule type="cellIs" dxfId="0" priority="15" operator="equal">
      <formula>0</formula>
    </cfRule>
    <cfRule type="colorScale" priority="16">
      <colorScale>
        <cfvo type="num" val="0"/>
        <cfvo type="num" val="1"/>
        <color rgb="FF0070C0"/>
        <color theme="0"/>
      </colorScale>
    </cfRule>
  </conditionalFormatting>
  <pageMargins left="0.7" right="0.7" top="0.75" bottom="0.75" header="0.3" footer="0.3"/>
  <pageSetup paperSize="9" orientation="portrait" r:id="rId1"/>
  <headerFooter>
    <oddHeader xml:space="preserve">&amp;CДжантуре Назерке, Вариант 15, Лабораторная работа 5
</oddHeader>
    <oddFooter>&amp;C12.12.24 10:34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himesiratori8@gmail.com</dc:creator>
  <cp:lastModifiedBy>himesiratori8@gmail.com</cp:lastModifiedBy>
  <dcterms:created xsi:type="dcterms:W3CDTF">2024-12-14T11:26:01Z</dcterms:created>
  <dcterms:modified xsi:type="dcterms:W3CDTF">2024-12-14T18:44:25Z</dcterms:modified>
</cp:coreProperties>
</file>